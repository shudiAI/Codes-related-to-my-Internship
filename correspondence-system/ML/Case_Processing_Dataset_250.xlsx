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cf5e1c89547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Cases" sheetId="1" r:id="R48404a4eb5204141"/>
    <x:sheet xmlns:r="http://schemas.openxmlformats.org/officeDocument/2006/relationships" name="Summary" sheetId="2" r:id="R9674e24720d144cd"/>
    <x:sheet xmlns:r="http://schemas.openxmlformats.org/officeDocument/2006/relationships" name="Assumptions" sheetId="3" r:id="Re9c192827390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df1cc311a4345" /><Relationship Type="http://schemas.openxmlformats.org/officeDocument/2006/relationships/theme" Target="/xl/theme/theme1.xml" Id="R5b284b0d44494134" /><Relationship Type="http://schemas.openxmlformats.org/officeDocument/2006/relationships/sharedStrings" Target="/xl/sharedStrings.xml" Id="R60f28b3706134a4c" /><Relationship Type="http://schemas.openxmlformats.org/officeDocument/2006/relationships/worksheet" Target="/xl/worksheets/sheet1.xml" Id="R48404a4eb5204141" /><Relationship Type="http://schemas.openxmlformats.org/officeDocument/2006/relationships/worksheet" Target="/xl/worksheets/sheet2.xml" Id="R9674e24720d144cd" /><Relationship Type="http://schemas.openxmlformats.org/officeDocument/2006/relationships/worksheet" Target="/xl/worksheets/sheet3.xml" Id="Re9c1928273904f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66b14097fa4f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Processing Days by Entity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 Count</c:v>
          </c:tx>
          <c:cat>
            <c:strRef>
              <c:f>'Summary'!$A$9:$A$17</c:f>
              <c:strCache>
                <c:ptCount val="0"/>
              </c:strCache>
            </c:strRef>
          </c:cat>
          <c:val>
            <c:numRef>
              <c:f>'Summary'!$B$9:$B$17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Processing Days</c:v>
          </c:tx>
          <c:cat>
            <c:strRef>
              <c:f>'Summary'!$A$9:$A$17</c:f>
              <c:strCache>
                <c:ptCount val="0"/>
              </c:strCache>
            </c:strRef>
          </c:cat>
          <c:val>
            <c:numRef>
              <c:f>'Summary'!$C$9:$C$17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66b14097fa4f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sTable" displayName="CasesTable" ref="A1:H251" headerRowCount="1" totalsRowCount="0" totalsRowShown="0">
  <x:tableColumns count="8">
    <x:tableColumn id="1" name="Case_ID"/>
    <x:tableColumn id="2" name="Region"/>
    <x:tableColumn id="3" name="City"/>
    <x:tableColumn id="4" name="Government_Entity"/>
    <x:tableColumn id="5" name="Project_Type"/>
    <x:tableColumn id="6" name="Work_Method"/>
    <x:tableColumn id="7" name="Description"/>
    <x:tableColumn id="8" name="Processing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2414eeea9241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d98cc76cca24e6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34" hidden="0" customWidth="1"/>
    <x:col min="5" max="5" width="18" hidden="0" customWidth="1"/>
    <x:col min="6" max="6" width="14" hidden="0" customWidth="1"/>
    <x:col min="7" max="7" width="52" hidden="0" customWidth="1"/>
    <x:col min="8" max="8" width="18" hidden="0" customWidth="1"/>
  </x:cols>
  <x:sheetData>
    <x:row r="1" ht="24" customHeight="1">
      <x:c r="A1" s="5" t="str">
        <x:v>Case_ID</x:v>
      </x:c>
      <x:c r="B1" s="5" t="str">
        <x:v>Region</x:v>
      </x:c>
      <x:c r="C1" s="5" t="str">
        <x:v>City</x:v>
      </x:c>
      <x:c r="D1" s="5" t="str">
        <x:v>Government_Entity</x:v>
      </x:c>
      <x:c r="E1" s="5" t="str">
        <x:v>Project_Type</x:v>
      </x:c>
      <x:c r="F1" s="5" t="str">
        <x:v>Work_Method</x:v>
      </x:c>
      <x:c r="G1" s="5" t="str">
        <x:v>Description</x:v>
      </x:c>
      <x:c r="H1" s="5" t="str">
        <x:v>Processing_Days</x:v>
      </x:c>
    </x:row>
    <x:row r="2">
      <x:c r="A2" s="12" t="str">
        <x:v>CASE-001</x:v>
      </x:c>
      <x:c r="B2" s="12" t="str">
        <x:v>Makkah Region</x:v>
      </x:c>
      <x:c r="C2" s="12" t="str">
        <x:v>Taif</x:v>
      </x:c>
      <x:c r="D2" s="12" t="str">
        <x:v>Ministry of Interior (MOI)</x:v>
      </x:c>
      <x:c r="E2" s="12" t="str">
        <x:v>Pipeline</x:v>
      </x:c>
      <x:c r="F2" s="12" t="str">
        <x:v>Open Cut</x:v>
      </x:c>
      <x:c r="G2" s="12" t="str">
        <x:v>Proposed 18-inch crude oil pipeline crossing at Taif; the crossing is planned using open-cut excavation across the controlled area boundary.</x:v>
      </x:c>
      <x:c r="H2" s="14" t="n">
        <x:v>28</x:v>
      </x:c>
    </x:row>
    <x:row r="3">
      <x:c r="A3" s="12" t="str">
        <x:v>CASE-002</x:v>
      </x:c>
      <x:c r="B3" s="12" t="str">
        <x:v>Eastern Region</x:v>
      </x:c>
      <x:c r="C3" s="12" t="str">
        <x:v>Jubail</x:v>
      </x:c>
      <x:c r="D3" s="12" t="str">
        <x:v>Ministry of Transport (MOT)</x:v>
      </x:c>
      <x:c r="E3" s="12" t="str">
        <x:v>Pipeline</x:v>
      </x:c>
      <x:c r="F3" s="12" t="str">
        <x:v>HDD</x:v>
      </x:c>
      <x:c r="G3" s="12" t="str">
        <x:v>Installation of a new 48-inch gas pipeline within the Jubail project area, including a crossing of the service road by horizontal directional drilling (HDD).</x:v>
      </x:c>
      <x:c r="H3" s="14" t="n">
        <x:v>44</x:v>
      </x:c>
    </x:row>
    <x:row r="4">
      <x:c r="A4" s="12" t="str">
        <x:v>CASE-003</x:v>
      </x:c>
      <x:c r="B4" s="12" t="str">
        <x:v>Madinah Region</x:v>
      </x:c>
      <x:c r="C4" s="12" t="str">
        <x:v>Yanbu</x:v>
      </x:c>
      <x:c r="D4" s="12" t="str">
        <x:v>Water Transmission Company (WTCO)</x:v>
      </x:c>
      <x:c r="E4" s="12" t="str">
        <x:v>Pipeline</x:v>
      </x:c>
      <x:c r="F4" s="12" t="str">
        <x:v>HDD</x:v>
      </x:c>
      <x:c r="G4" s="12" t="str">
        <x:v>Construction of a 36-inch crude oil pipeline crossing the existing water transmission line near Yanbu using horizontal directional drilling (HDD).</x:v>
      </x:c>
      <x:c r="H4" s="14" t="n">
        <x:v>16</x:v>
      </x:c>
    </x:row>
    <x:row r="5">
      <x:c r="A5" s="12" t="str">
        <x:v>CASE-004</x:v>
      </x:c>
      <x:c r="B5" s="12" t="str">
        <x:v>Riyadh Region</x:v>
      </x:c>
      <x:c r="C5" s="12" t="str">
        <x:v>Al Majma'ah</x:v>
      </x:c>
      <x:c r="D5" s="12" t="str">
        <x:v>Ministry of Transport (MOT)</x:v>
      </x:c>
      <x:c r="E5" s="12" t="str">
        <x:v>Borrow Pit</x:v>
      </x:c>
      <x:c r="F5" s="12" t="str">
        <x:v>N/A</x:v>
      </x:c>
      <x:c r="G5" s="12" t="str">
        <x:v>Temporary borrow pit request near Al Majma'ah to support project earthworks and supply approved fill material.</x:v>
      </x:c>
      <x:c r="H5" s="14" t="n">
        <x:v>29</x:v>
      </x:c>
    </x:row>
    <x:row r="6">
      <x:c r="A6" s="12" t="str">
        <x:v>CASE-005</x:v>
      </x:c>
      <x:c r="B6" s="12" t="str">
        <x:v>Riyadh Region</x:v>
      </x:c>
      <x:c r="C6" s="12" t="str">
        <x:v>Al Kharj</x:v>
      </x:c>
      <x:c r="D6" s="12" t="str">
        <x:v>National Guard</x:v>
      </x:c>
      <x:c r="E6" s="12" t="str">
        <x:v>Well Drilling</x:v>
      </x:c>
      <x:c r="F6" s="12" t="str">
        <x:v>N/A</x:v>
      </x:c>
      <x:c r="G6" s="12" t="str">
        <x:v>Drilling of 3 new observation wells within the project area near Al Kharj, including temporary access and site preparation.</x:v>
      </x:c>
      <x:c r="H6" s="14" t="n">
        <x:v>41</x:v>
      </x:c>
    </x:row>
    <x:row r="7">
      <x:c r="A7" s="12" t="str">
        <x:v>CASE-006</x:v>
      </x:c>
      <x:c r="B7" s="12" t="str">
        <x:v>Eastern Region</x:v>
      </x:c>
      <x:c r="C7" s="12" t="str">
        <x:v>Al Ahsa</x:v>
      </x:c>
      <x:c r="D7" s="12" t="str">
        <x:v>Ministry of Defense (MOD)</x:v>
      </x:c>
      <x:c r="E7" s="12" t="str">
        <x:v>Well Drilling</x:v>
      </x:c>
      <x:c r="F7" s="12" t="str">
        <x:v>N/A</x:v>
      </x:c>
      <x:c r="G7" s="12" t="str">
        <x:v>Drilling of 3 new observation wells within the project area near Al Ahsa, including temporary access and site preparation.</x:v>
      </x:c>
      <x:c r="H7" s="14" t="n">
        <x:v>56</x:v>
      </x:c>
    </x:row>
    <x:row r="8">
      <x:c r="A8" s="12" t="str">
        <x:v>CASE-007</x:v>
      </x:c>
      <x:c r="B8" s="12" t="str">
        <x:v>Eastern Region</x:v>
      </x:c>
      <x:c r="C8" s="12" t="str">
        <x:v>Ras Tanura</x:v>
      </x:c>
      <x:c r="D8" s="12" t="str">
        <x:v>Ministry of Transport (MOT)</x:v>
      </x:c>
      <x:c r="E8" s="12" t="str">
        <x:v>Pipeline</x:v>
      </x:c>
      <x:c r="F8" s="12" t="str">
        <x:v>HDD</x:v>
      </x:c>
      <x:c r="G8" s="12" t="str">
        <x:v>Construction of a 10-inch gas pipeline crossing the existing access road near Ras Tanura using horizontal directional drilling (HDD).</x:v>
      </x:c>
      <x:c r="H8" s="14" t="n">
        <x:v>47</x:v>
      </x:c>
    </x:row>
    <x:row r="9">
      <x:c r="A9" s="12" t="str">
        <x:v>CASE-008</x:v>
      </x:c>
      <x:c r="B9" s="12" t="str">
        <x:v>Riyadh Region</x:v>
      </x:c>
      <x:c r="C9" s="12" t="str">
        <x:v>Al Kharj</x:v>
      </x:c>
      <x:c r="D9" s="12" t="str">
        <x:v>Ministry of Transport (MOT)</x:v>
      </x:c>
      <x:c r="E9" s="12" t="str">
        <x:v>Temporary Site</x:v>
      </x:c>
      <x:c r="F9" s="12" t="str">
        <x:v>N/A</x:v>
      </x:c>
      <x:c r="G9" s="12" t="str">
        <x:v>Request for a temporary project support site near Al Kharj for material storage during the construction period.</x:v>
      </x:c>
      <x:c r="H9" s="14" t="n">
        <x:v>34</x:v>
      </x:c>
    </x:row>
    <x:row r="10">
      <x:c r="A10" s="12" t="str">
        <x:v>CASE-009</x:v>
      </x:c>
      <x:c r="B10" s="12" t="str">
        <x:v>Riyadh Region</x:v>
      </x:c>
      <x:c r="C10" s="12" t="str">
        <x:v>Al Majma'ah</x:v>
      </x:c>
      <x:c r="D10" s="12" t="str">
        <x:v>Ministry of Transport (MOT)</x:v>
      </x:c>
      <x:c r="E10" s="12" t="str">
        <x:v>Borrow Pit</x:v>
      </x:c>
      <x:c r="F10" s="12" t="str">
        <x:v>N/A</x:v>
      </x:c>
      <x:c r="G10" s="12" t="str">
        <x:v>Temporary borrow pit request near Al Majma'ah to support project earthworks and supply construction soil.</x:v>
      </x:c>
      <x:c r="H10" s="14" t="n">
        <x:v>37</x:v>
      </x:c>
    </x:row>
    <x:row r="11">
      <x:c r="A11" s="12" t="str">
        <x:v>CASE-010</x:v>
      </x:c>
      <x:c r="B11" s="12" t="str">
        <x:v>Eastern Region</x:v>
      </x:c>
      <x:c r="C11" s="12" t="str">
        <x:v>Khafji</x:v>
      </x:c>
      <x:c r="D11" s="12" t="str">
        <x:v>Water Transmission Company (WTCO)</x:v>
      </x:c>
      <x:c r="E11" s="12" t="str">
        <x:v>Pipeline</x:v>
      </x:c>
      <x:c r="F11" s="12" t="str">
        <x:v>HDD</x:v>
      </x:c>
      <x:c r="G11" s="12" t="str">
        <x:v>Installation of a new 48-inch gas pipeline within the Khafji project area, including a crossing of the water transmission line by horizontal directional drilling (HDD).</x:v>
      </x:c>
      <x:c r="H11" s="14" t="n">
        <x:v>18</x:v>
      </x:c>
    </x:row>
    <x:row r="12">
      <x:c r="A12" s="12" t="str">
        <x:v>CASE-011</x:v>
      </x:c>
      <x:c r="B12" s="12" t="str">
        <x:v>Makkah Region</x:v>
      </x:c>
      <x:c r="C12" s="12" t="str">
        <x:v>Jeddah</x:v>
      </x:c>
      <x:c r="D12" s="12" t="str">
        <x:v>Ministry of Transport (MOT)</x:v>
      </x:c>
      <x:c r="E12" s="12" t="str">
        <x:v>Pipeline</x:v>
      </x:c>
      <x:c r="F12" s="12" t="str">
        <x:v>HDD</x:v>
      </x:c>
      <x:c r="G12" s="12" t="str">
        <x:v>Installation of a new 8-inch water pipeline within the Jeddah project area, including a crossing of the service road by horizontal directional drilling (HDD).</x:v>
      </x:c>
      <x:c r="H12" s="14" t="n">
        <x:v>33</x:v>
      </x:c>
    </x:row>
    <x:row r="13">
      <x:c r="A13" s="12" t="str">
        <x:v>CASE-012</x:v>
      </x:c>
      <x:c r="B13" s="12" t="str">
        <x:v>Madinah Region</x:v>
      </x:c>
      <x:c r="C13" s="12" t="str">
        <x:v>Madinah</x:v>
      </x:c>
      <x:c r="D13" s="12" t="str">
        <x:v>Border Guard</x:v>
      </x:c>
      <x:c r="E13" s="12" t="str">
        <x:v>Borrow Pit</x:v>
      </x:c>
      <x:c r="F13" s="12" t="str">
        <x:v>N/A</x:v>
      </x:c>
      <x:c r="G13" s="12" t="str">
        <x:v>Temporary borrow pit request near Madinah to support project earthworks and supply construction soil.</x:v>
      </x:c>
      <x:c r="H13" s="14" t="n">
        <x:v>30</x:v>
      </x:c>
    </x:row>
    <x:row r="14">
      <x:c r="A14" s="12" t="str">
        <x:v>CASE-013</x:v>
      </x:c>
      <x:c r="B14" s="12" t="str">
        <x:v>Riyadh Region</x:v>
      </x:c>
      <x:c r="C14" s="12" t="str">
        <x:v>Riyadh</x:v>
      </x:c>
      <x:c r="D14" s="12" t="str">
        <x:v>Ministry of Defense (MOD)</x:v>
      </x:c>
      <x:c r="E14" s="12" t="str">
        <x:v>Pipeline</x:v>
      </x:c>
      <x:c r="F14" s="12" t="str">
        <x:v>HDD</x:v>
      </x:c>
      <x:c r="G14" s="12" t="str">
        <x:v>Installation of a new 18-inch gas pipeline within the Riyadh project area, including a crossing of the government facility corridor by horizontal directional drilling (HDD).</x:v>
      </x:c>
      <x:c r="H14" s="14" t="n">
        <x:v>62</x:v>
      </x:c>
    </x:row>
    <x:row r="15">
      <x:c r="A15" s="12" t="str">
        <x:v>CASE-014</x:v>
      </x:c>
      <x:c r="B15" s="12" t="str">
        <x:v>Riyadh Region</x:v>
      </x:c>
      <x:c r="C15" s="12" t="str">
        <x:v>Al Kharj</x:v>
      </x:c>
      <x:c r="D15" s="12" t="str">
        <x:v>National Guard</x:v>
      </x:c>
      <x:c r="E15" s="12" t="str">
        <x:v>Culvert</x:v>
      </x:c>
      <x:c r="F15" s="12" t="str">
        <x:v>N/A</x:v>
      </x:c>
      <x:c r="G15" s="12" t="str">
        <x:v>Proposed reinforced concrete culvert crossing near Al Kharj as part of drainage and infrastructure improvement works.</x:v>
      </x:c>
      <x:c r="H15" s="14" t="n">
        <x:v>42</x:v>
      </x:c>
    </x:row>
    <x:row r="16">
      <x:c r="A16" s="12" t="str">
        <x:v>CASE-015</x:v>
      </x:c>
      <x:c r="B16" s="12" t="str">
        <x:v>Eastern Region</x:v>
      </x:c>
      <x:c r="C16" s="12" t="str">
        <x:v>Abqaiq</x:v>
      </x:c>
      <x:c r="D16" s="12" t="str">
        <x:v>Saudi Electricity</x:v>
      </x:c>
      <x:c r="E16" s="12" t="str">
        <x:v>Well Drilling</x:v>
      </x:c>
      <x:c r="F16" s="12" t="str">
        <x:v>N/A</x:v>
      </x:c>
      <x:c r="G16" s="12" t="str">
        <x:v>Proposed observation well drilling works near Abqaiq, including drilling pad preparation and temporary access.</x:v>
      </x:c>
      <x:c r="H16" s="14" t="n">
        <x:v>20</x:v>
      </x:c>
    </x:row>
    <x:row r="17">
      <x:c r="A17" s="12" t="str">
        <x:v>CASE-016</x:v>
      </x:c>
      <x:c r="B17" s="12" t="str">
        <x:v>Eastern Region</x:v>
      </x:c>
      <x:c r="C17" s="12" t="str">
        <x:v>Dhahran</x:v>
      </x:c>
      <x:c r="D17" s="12" t="str">
        <x:v>Ministry of Transport (MOT)</x:v>
      </x:c>
      <x:c r="E17" s="12" t="str">
        <x:v>Borrow Pit</x:v>
      </x:c>
      <x:c r="F17" s="12" t="str">
        <x:v>N/A</x:v>
      </x:c>
      <x:c r="G17" s="12" t="str">
        <x:v>Temporary borrow pit request near Dhahran to support project earthworks and supply approved fill material.</x:v>
      </x:c>
      <x:c r="H17" s="14" t="n">
        <x:v>42</x:v>
      </x:c>
    </x:row>
    <x:row r="18">
      <x:c r="A18" s="12" t="str">
        <x:v>CASE-017</x:v>
      </x:c>
      <x:c r="B18" s="12" t="str">
        <x:v>Makkah Region</x:v>
      </x:c>
      <x:c r="C18" s="12" t="str">
        <x:v>Jeddah</x:v>
      </x:c>
      <x:c r="D18" s="12" t="str">
        <x:v>Border Guard</x:v>
      </x:c>
      <x:c r="E18" s="12" t="str">
        <x:v>Well Drilling</x:v>
      </x:c>
      <x:c r="F18" s="12" t="str">
        <x:v>N/A</x:v>
      </x:c>
      <x:c r="G18" s="12" t="str">
        <x:v>Drilling of 4 new observation wells within the project area near Jeddah, including temporary access and site preparation.</x:v>
      </x:c>
      <x:c r="H18" s="14" t="n">
        <x:v>30</x:v>
      </x:c>
    </x:row>
    <x:row r="19">
      <x:c r="A19" s="12" t="str">
        <x:v>CASE-018</x:v>
      </x:c>
      <x:c r="B19" s="12" t="str">
        <x:v>Riyadh Region</x:v>
      </x:c>
      <x:c r="C19" s="12" t="str">
        <x:v>Riyadh</x:v>
      </x:c>
      <x:c r="D19" s="12" t="str">
        <x:v>Ministry of Transport (MOT)</x:v>
      </x:c>
      <x:c r="E19" s="12" t="str">
        <x:v>Culvert</x:v>
      </x:c>
      <x:c r="F19" s="12" t="str">
        <x:v>N/A</x:v>
      </x:c>
      <x:c r="G19" s="12" t="str">
        <x:v>Construction of a double-cell culvert near Riyadh to support drainage works adjacent to the main road.</x:v>
      </x:c>
      <x:c r="H19" s="14" t="n">
        <x:v>80</x:v>
      </x:c>
    </x:row>
    <x:row r="20">
      <x:c r="A20" s="12" t="str">
        <x:v>CASE-019</x:v>
      </x:c>
      <x:c r="B20" s="12" t="str">
        <x:v>Makkah Region</x:v>
      </x:c>
      <x:c r="C20" s="12" t="str">
        <x:v>Taif</x:v>
      </x:c>
      <x:c r="D20" s="12" t="str">
        <x:v>Water Transmission Company (WTCO)</x:v>
      </x:c>
      <x:c r="E20" s="12" t="str">
        <x:v>Pipeline</x:v>
      </x:c>
      <x:c r="F20" s="12" t="str">
        <x:v>HDD</x:v>
      </x:c>
      <x:c r="G20" s="12" t="str">
        <x:v>Proposed 48-inch crude oil pipeline crossing at Taif; the crossing is planned using horizontal directional drilling (HDD) across the distribution main.</x:v>
      </x:c>
      <x:c r="H20" s="14" t="n">
        <x:v>26</x:v>
      </x:c>
    </x:row>
    <x:row r="21">
      <x:c r="A21" s="12" t="str">
        <x:v>CASE-020</x:v>
      </x:c>
      <x:c r="B21" s="12" t="str">
        <x:v>Eastern Region</x:v>
      </x:c>
      <x:c r="C21" s="12" t="str">
        <x:v>Ras Tanura</x:v>
      </x:c>
      <x:c r="D21" s="12" t="str">
        <x:v>Ministry of Transport (MOT)</x:v>
      </x:c>
      <x:c r="E21" s="12" t="str">
        <x:v>Pipeline</x:v>
      </x:c>
      <x:c r="F21" s="12" t="str">
        <x:v>HDD</x:v>
      </x:c>
      <x:c r="G21" s="12" t="str">
        <x:v>Installation of a new 8-inch utility pipeline within the Ras Tanura project area, including a crossing of the access road by horizontal directional drilling (HDD).</x:v>
      </x:c>
      <x:c r="H21" s="14" t="n">
        <x:v>56</x:v>
      </x:c>
    </x:row>
    <x:row r="22">
      <x:c r="A22" s="12" t="str">
        <x:v>CASE-021</x:v>
      </x:c>
      <x:c r="B22" s="12" t="str">
        <x:v>Eastern Region</x:v>
      </x:c>
      <x:c r="C22" s="12" t="str">
        <x:v>Khafji</x:v>
      </x:c>
      <x:c r="D22" s="12" t="str">
        <x:v>Ministry of Interior (MOI)</x:v>
      </x:c>
      <x:c r="E22" s="12" t="str">
        <x:v>Temporary Site</x:v>
      </x:c>
      <x:c r="F22" s="12" t="str">
        <x:v>N/A</x:v>
      </x:c>
      <x:c r="G22" s="12" t="str">
        <x:v>Request for a temporary project support site near Khafji for equipment staging during the construction period.</x:v>
      </x:c>
      <x:c r="H22" s="14" t="n">
        <x:v>19</x:v>
      </x:c>
    </x:row>
    <x:row r="23">
      <x:c r="A23" s="12" t="str">
        <x:v>CASE-022</x:v>
      </x:c>
      <x:c r="B23" s="12" t="str">
        <x:v>Northern Borders Region</x:v>
      </x:c>
      <x:c r="C23" s="12" t="str">
        <x:v>Arar</x:v>
      </x:c>
      <x:c r="D23" s="12" t="str">
        <x:v>Saudi Electricity</x:v>
      </x:c>
      <x:c r="E23" s="12" t="str">
        <x:v>Pipeline</x:v>
      </x:c>
      <x:c r="F23" s="12" t="str">
        <x:v>HDD</x:v>
      </x:c>
      <x:c r="G23" s="12" t="str">
        <x:v>Installation of a new 36-inch water pipeline within the Arar project area, including a crossing of the electrical utility corridor by horizontal directional drilling (HDD).</x:v>
      </x:c>
      <x:c r="H23" s="14" t="n">
        <x:v>30</x:v>
      </x:c>
    </x:row>
    <x:row r="24">
      <x:c r="A24" s="12" t="str">
        <x:v>CASE-023</x:v>
      </x:c>
      <x:c r="B24" s="12" t="str">
        <x:v>Eastern Region</x:v>
      </x:c>
      <x:c r="C24" s="12" t="str">
        <x:v>Abqaiq</x:v>
      </x:c>
      <x:c r="D24" s="12" t="str">
        <x:v>Ministry of Transport (MOT)</x:v>
      </x:c>
      <x:c r="E24" s="12" t="str">
        <x:v>Culvert</x:v>
      </x:c>
      <x:c r="F24" s="12" t="str">
        <x:v>N/A</x:v>
      </x:c>
      <x:c r="G24" s="12" t="str">
        <x:v>Extension and installation of a reinforced concrete culvert in the Abqaiq project area, including temporary traffic and site access arrangements.</x:v>
      </x:c>
      <x:c r="H24" s="14" t="n">
        <x:v>24</x:v>
      </x:c>
    </x:row>
    <x:row r="25">
      <x:c r="A25" s="12" t="str">
        <x:v>CASE-024</x:v>
      </x:c>
      <x:c r="B25" s="12" t="str">
        <x:v>Makkah Region</x:v>
      </x:c>
      <x:c r="C25" s="12" t="str">
        <x:v>Jeddah</x:v>
      </x:c>
      <x:c r="D25" s="12" t="str">
        <x:v>Border Guard</x:v>
      </x:c>
      <x:c r="E25" s="12" t="str">
        <x:v>Culvert</x:v>
      </x:c>
      <x:c r="F25" s="12" t="str">
        <x:v>N/A</x:v>
      </x:c>
      <x:c r="G25" s="12" t="str">
        <x:v>Extension and installation of a box culvert in the Jeddah project area, including temporary traffic and site access arrangements.</x:v>
      </x:c>
      <x:c r="H25" s="14" t="n">
        <x:v>26</x:v>
      </x:c>
    </x:row>
    <x:row r="26">
      <x:c r="A26" s="12" t="str">
        <x:v>CASE-025</x:v>
      </x:c>
      <x:c r="B26" s="12" t="str">
        <x:v>Madinah Region</x:v>
      </x:c>
      <x:c r="C26" s="12" t="str">
        <x:v>Yanbu</x:v>
      </x:c>
      <x:c r="D26" s="12" t="str">
        <x:v>National Guard</x:v>
      </x:c>
      <x:c r="E26" s="12" t="str">
        <x:v>Well Drilling</x:v>
      </x:c>
      <x:c r="F26" s="12" t="str">
        <x:v>N/A</x:v>
      </x:c>
      <x:c r="G26" s="12" t="str">
        <x:v>Construction activity for 3 observation wells in the Yanbu project area with associated site preparation.</x:v>
      </x:c>
      <x:c r="H26" s="14" t="n">
        <x:v>39</x:v>
      </x:c>
    </x:row>
    <x:row r="27">
      <x:c r="A27" s="12" t="str">
        <x:v>CASE-026</x:v>
      </x:c>
      <x:c r="B27" s="12" t="str">
        <x:v>Northern Borders Region</x:v>
      </x:c>
      <x:c r="C27" s="12" t="str">
        <x:v>Rafha</x:v>
      </x:c>
      <x:c r="D27" s="12" t="str">
        <x:v>Ministry of Transport (MOT)</x:v>
      </x:c>
      <x:c r="E27" s="12" t="str">
        <x:v>Pipeline</x:v>
      </x:c>
      <x:c r="F27" s="12" t="str">
        <x:v>HDD</x:v>
      </x:c>
      <x:c r="G27" s="12" t="str">
        <x:v>Construction of a 8-inch utility pipeline crossing the existing highway near Rafha using horizontal directional drilling (HDD).</x:v>
      </x:c>
      <x:c r="H27" s="14" t="n">
        <x:v>118</x:v>
      </x:c>
    </x:row>
    <x:row r="28">
      <x:c r="A28" s="12" t="str">
        <x:v>CASE-027</x:v>
      </x:c>
      <x:c r="B28" s="12" t="str">
        <x:v>Riyadh Region</x:v>
      </x:c>
      <x:c r="C28" s="12" t="str">
        <x:v>Riyadh</x:v>
      </x:c>
      <x:c r="D28" s="12" t="str">
        <x:v>Ministry of Transport (MOT)</x:v>
      </x:c>
      <x:c r="E28" s="12" t="str">
        <x:v>Pipeline</x:v>
      </x:c>
      <x:c r="F28" s="12" t="str">
        <x:v>HDD</x:v>
      </x:c>
      <x:c r="G28" s="12" t="str">
        <x:v>Installation of a new 12-inch gas pipeline within the Riyadh project area, including a crossing of the service road by horizontal directional drilling (HDD).</x:v>
      </x:c>
      <x:c r="H28" s="14" t="n">
        <x:v>51</x:v>
      </x:c>
    </x:row>
    <x:row r="29">
      <x:c r="A29" s="12" t="str">
        <x:v>CASE-028</x:v>
      </x:c>
      <x:c r="B29" s="12" t="str">
        <x:v>Hail Region</x:v>
      </x:c>
      <x:c r="C29" s="12" t="str">
        <x:v>Hail</x:v>
      </x:c>
      <x:c r="D29" s="12" t="str">
        <x:v>Saudi Arabia Railways (SAR)</x:v>
      </x:c>
      <x:c r="E29" s="12" t="str">
        <x:v>Pipeline</x:v>
      </x:c>
      <x:c r="F29" s="12" t="str">
        <x:v>HDD</x:v>
      </x:c>
      <x:c r="G29" s="12" t="str">
        <x:v>Construction of a 6-inch gas pipeline crossing the existing railway corridor near Hail using horizontal directional drilling (HDD).</x:v>
      </x:c>
      <x:c r="H29" s="14" t="n">
        <x:v>75</x:v>
      </x:c>
    </x:row>
    <x:row r="30">
      <x:c r="A30" s="12" t="str">
        <x:v>CASE-029</x:v>
      </x:c>
      <x:c r="B30" s="12" t="str">
        <x:v>Madinah Region</x:v>
      </x:c>
      <x:c r="C30" s="12" t="str">
        <x:v>Yanbu</x:v>
      </x:c>
      <x:c r="D30" s="12" t="str">
        <x:v>Saudi Electricity</x:v>
      </x:c>
      <x:c r="E30" s="12" t="str">
        <x:v>Pipeline</x:v>
      </x:c>
      <x:c r="F30" s="12" t="str">
        <x:v>Open Cut</x:v>
      </x:c>
      <x:c r="G30" s="12" t="str">
        <x:v>Construction of a 10-inch utility pipeline crossing the existing substation access corridor near Yanbu using open-cut excavation.</x:v>
      </x:c>
      <x:c r="H30" s="14" t="n">
        <x:v>18</x:v>
      </x:c>
    </x:row>
    <x:row r="31">
      <x:c r="A31" s="12" t="str">
        <x:v>CASE-030</x:v>
      </x:c>
      <x:c r="B31" s="12" t="str">
        <x:v>Eastern Region</x:v>
      </x:c>
      <x:c r="C31" s="12" t="str">
        <x:v>Al Khobar</x:v>
      </x:c>
      <x:c r="D31" s="12" t="str">
        <x:v>Saudi Electricity</x:v>
      </x:c>
      <x:c r="E31" s="12" t="str">
        <x:v>Pipeline</x:v>
      </x:c>
      <x:c r="F31" s="12" t="str">
        <x:v>HDD</x:v>
      </x:c>
      <x:c r="G31" s="12" t="str">
        <x:v>Construction of a 10-inch water pipeline crossing the existing electrical utility corridor near Al Khobar using horizontal directional drilling (HDD).</x:v>
      </x:c>
      <x:c r="H31" s="14" t="n">
        <x:v>29</x:v>
      </x:c>
    </x:row>
    <x:row r="32">
      <x:c r="A32" s="12" t="str">
        <x:v>CASE-031</x:v>
      </x:c>
      <x:c r="B32" s="12" t="str">
        <x:v>Madinah Region</x:v>
      </x:c>
      <x:c r="C32" s="12" t="str">
        <x:v>Yanbu</x:v>
      </x:c>
      <x:c r="D32" s="12" t="str">
        <x:v>National Water Company (NWC)</x:v>
      </x:c>
      <x:c r="E32" s="12" t="str">
        <x:v>Pipeline</x:v>
      </x:c>
      <x:c r="F32" s="12" t="str">
        <x:v>Open Cut</x:v>
      </x:c>
      <x:c r="G32" s="12" t="str">
        <x:v>Construction of a 20-inch utility pipeline crossing the existing utility corridor near Yanbu using open-cut excavation.</x:v>
      </x:c>
      <x:c r="H32" s="14" t="n">
        <x:v>24</x:v>
      </x:c>
    </x:row>
    <x:row r="33">
      <x:c r="A33" s="12" t="str">
        <x:v>CASE-032</x:v>
      </x:c>
      <x:c r="B33" s="12" t="str">
        <x:v>Al Jouf Region</x:v>
      </x:c>
      <x:c r="C33" s="12" t="str">
        <x:v>Sakaka</x:v>
      </x:c>
      <x:c r="D33" s="12" t="str">
        <x:v>Ministry of Transport (MOT)</x:v>
      </x:c>
      <x:c r="E33" s="12" t="str">
        <x:v>Culvert</x:v>
      </x:c>
      <x:c r="F33" s="12" t="str">
        <x:v>N/A</x:v>
      </x:c>
      <x:c r="G33" s="12" t="str">
        <x:v>Proposed reinforced concrete culvert crossing near Sakaka as part of drainage and infrastructure improvement works.</x:v>
      </x:c>
      <x:c r="H33" s="14" t="n">
        <x:v>39</x:v>
      </x:c>
    </x:row>
    <x:row r="34">
      <x:c r="A34" s="12" t="str">
        <x:v>CASE-033</x:v>
      </x:c>
      <x:c r="B34" s="12" t="str">
        <x:v>Asir Region</x:v>
      </x:c>
      <x:c r="C34" s="12" t="str">
        <x:v>Abha</x:v>
      </x:c>
      <x:c r="D34" s="12" t="str">
        <x:v>Ministry of Transport (MOT)</x:v>
      </x:c>
      <x:c r="E34" s="12" t="str">
        <x:v>Pipeline</x:v>
      </x:c>
      <x:c r="F34" s="12" t="str">
        <x:v>Open Cut</x:v>
      </x:c>
      <x:c r="G34" s="12" t="str">
        <x:v>Proposed 12-inch process water pipeline crossing at Abha; the crossing is planned using open-cut excavation across the access road.</x:v>
      </x:c>
      <x:c r="H34" s="14" t="n">
        <x:v>56</x:v>
      </x:c>
    </x:row>
    <x:row r="35">
      <x:c r="A35" s="12" t="str">
        <x:v>CASE-034</x:v>
      </x:c>
      <x:c r="B35" s="12" t="str">
        <x:v>Tabuk Region</x:v>
      </x:c>
      <x:c r="C35" s="12" t="str">
        <x:v>Tabuk</x:v>
      </x:c>
      <x:c r="D35" s="12" t="str">
        <x:v>Water Transmission Company (WTCO)</x:v>
      </x:c>
      <x:c r="E35" s="12" t="str">
        <x:v>Pipeline</x:v>
      </x:c>
      <x:c r="F35" s="12" t="str">
        <x:v>HDD</x:v>
      </x:c>
      <x:c r="G35" s="12" t="str">
        <x:v>Construction of a 30-inch gas pipeline crossing the existing distribution main near Tabuk using horizontal directional drilling (HDD).</x:v>
      </x:c>
      <x:c r="H35" s="14" t="n">
        <x:v>17</x:v>
      </x:c>
    </x:row>
    <x:row r="36">
      <x:c r="A36" s="12" t="str">
        <x:v>CASE-035</x:v>
      </x:c>
      <x:c r="B36" s="12" t="str">
        <x:v>Eastern Region</x:v>
      </x:c>
      <x:c r="C36" s="12" t="str">
        <x:v>Al Ahsa</x:v>
      </x:c>
      <x:c r="D36" s="12" t="str">
        <x:v>Ministry of Interior (MOI)</x:v>
      </x:c>
      <x:c r="E36" s="12" t="str">
        <x:v>Borrow Pit</x:v>
      </x:c>
      <x:c r="F36" s="12" t="str">
        <x:v>N/A</x:v>
      </x:c>
      <x:c r="G36" s="12" t="str">
        <x:v>Proposed borrow pit in the Al Ahsa area for sourcing construction soil required for grading and backfilling activities.</x:v>
      </x:c>
      <x:c r="H36" s="14" t="n">
        <x:v>18</x:v>
      </x:c>
    </x:row>
    <x:row r="37">
      <x:c r="A37" s="12" t="str">
        <x:v>CASE-036</x:v>
      </x:c>
      <x:c r="B37" s="12" t="str">
        <x:v>Riyadh Region</x:v>
      </x:c>
      <x:c r="C37" s="12" t="str">
        <x:v>Al Majma'ah</x:v>
      </x:c>
      <x:c r="D37" s="12" t="str">
        <x:v>Saudi Electricity</x:v>
      </x:c>
      <x:c r="E37" s="12" t="str">
        <x:v>Temporary Site</x:v>
      </x:c>
      <x:c r="F37" s="12" t="str">
        <x:v>N/A</x:v>
      </x:c>
      <x:c r="G37" s="12" t="str">
        <x:v>Request for a temporary project support site near Al Majma'ah for material storage during the construction period.</x:v>
      </x:c>
      <x:c r="H37" s="14" t="n">
        <x:v>17</x:v>
      </x:c>
    </x:row>
    <x:row r="38">
      <x:c r="A38" s="12" t="str">
        <x:v>CASE-037</x:v>
      </x:c>
      <x:c r="B38" s="12" t="str">
        <x:v>Riyadh Region</x:v>
      </x:c>
      <x:c r="C38" s="12" t="str">
        <x:v>Riyadh</x:v>
      </x:c>
      <x:c r="D38" s="12" t="str">
        <x:v>Water Transmission Company (WTCO)</x:v>
      </x:c>
      <x:c r="E38" s="12" t="str">
        <x:v>Well Drilling</x:v>
      </x:c>
      <x:c r="F38" s="12" t="str">
        <x:v>N/A</x:v>
      </x:c>
      <x:c r="G38" s="12" t="str">
        <x:v>Construction activity for 2 monitoring wells in the Riyadh project area with associated site preparation.</x:v>
      </x:c>
      <x:c r="H38" s="14" t="n">
        <x:v>22</x:v>
      </x:c>
    </x:row>
    <x:row r="39">
      <x:c r="A39" s="12" t="str">
        <x:v>CASE-038</x:v>
      </x:c>
      <x:c r="B39" s="12" t="str">
        <x:v>Northern Borders Region</x:v>
      </x:c>
      <x:c r="C39" s="12" t="str">
        <x:v>Rafha</x:v>
      </x:c>
      <x:c r="D39" s="12" t="str">
        <x:v>Saudi Arabia Railways (SAR)</x:v>
      </x:c>
      <x:c r="E39" s="12" t="str">
        <x:v>Pipeline</x:v>
      </x:c>
      <x:c r="F39" s="12" t="str">
        <x:v>HDD</x:v>
      </x:c>
      <x:c r="G39" s="12" t="str">
        <x:v>Proposed 20-inch gas pipeline crossing at Rafha; the crossing is planned using horizontal directional drilling (HDD) across the rail right-of-way.</x:v>
      </x:c>
      <x:c r="H39" s="14" t="n">
        <x:v>79</x:v>
      </x:c>
    </x:row>
    <x:row r="40">
      <x:c r="A40" s="12" t="str">
        <x:v>CASE-039</x:v>
      </x:c>
      <x:c r="B40" s="12" t="str">
        <x:v>Eastern Region</x:v>
      </x:c>
      <x:c r="C40" s="12" t="str">
        <x:v>Jubail</x:v>
      </x:c>
      <x:c r="D40" s="12" t="str">
        <x:v>Ministry of Transport (MOT)</x:v>
      </x:c>
      <x:c r="E40" s="12" t="str">
        <x:v>Temporary Site</x:v>
      </x:c>
      <x:c r="F40" s="12" t="str">
        <x:v>N/A</x:v>
      </x:c>
      <x:c r="G40" s="12" t="str">
        <x:v>Establishment of a temporary construction support area in Jubail for material storage associated with the ongoing project.</x:v>
      </x:c>
      <x:c r="H40" s="14" t="n">
        <x:v>32</x:v>
      </x:c>
    </x:row>
    <x:row r="41">
      <x:c r="A41" s="12" t="str">
        <x:v>CASE-040</x:v>
      </x:c>
      <x:c r="B41" s="12" t="str">
        <x:v>Eastern Region</x:v>
      </x:c>
      <x:c r="C41" s="12" t="str">
        <x:v>Abqaiq</x:v>
      </x:c>
      <x:c r="D41" s="12" t="str">
        <x:v>Ministry of Transport (MOT)</x:v>
      </x:c>
      <x:c r="E41" s="12" t="str">
        <x:v>Pipeline</x:v>
      </x:c>
      <x:c r="F41" s="12" t="str">
        <x:v>Open Cut</x:v>
      </x:c>
      <x:c r="G41" s="12" t="str">
        <x:v>Installation of a new 24-inch water pipeline within the Abqaiq project area, including a crossing of the main road by open-cut excavation.</x:v>
      </x:c>
      <x:c r="H41" s="14" t="n">
        <x:v>28</x:v>
      </x:c>
    </x:row>
    <x:row r="42">
      <x:c r="A42" s="12" t="str">
        <x:v>CASE-041</x:v>
      </x:c>
      <x:c r="B42" s="12" t="str">
        <x:v>Jazan Region</x:v>
      </x:c>
      <x:c r="C42" s="12" t="str">
        <x:v>Jazan</x:v>
      </x:c>
      <x:c r="D42" s="12" t="str">
        <x:v>Ministry of Defense (MOD)</x:v>
      </x:c>
      <x:c r="E42" s="12" t="str">
        <x:v>Well Drilling</x:v>
      </x:c>
      <x:c r="F42" s="12" t="str">
        <x:v>N/A</x:v>
      </x:c>
      <x:c r="G42" s="12" t="str">
        <x:v>Construction activity for 2 water wells in the Jazan project area with associated site preparation.</x:v>
      </x:c>
      <x:c r="H42" s="14" t="n">
        <x:v>82</x:v>
      </x:c>
    </x:row>
    <x:row r="43">
      <x:c r="A43" s="12" t="str">
        <x:v>CASE-042</x:v>
      </x:c>
      <x:c r="B43" s="12" t="str">
        <x:v>Al Jouf Region</x:v>
      </x:c>
      <x:c r="C43" s="12" t="str">
        <x:v>Sakaka</x:v>
      </x:c>
      <x:c r="D43" s="12" t="str">
        <x:v>Ministry of Transport (MOT)</x:v>
      </x:c>
      <x:c r="E43" s="12" t="str">
        <x:v>Pipeline</x:v>
      </x:c>
      <x:c r="F43" s="12" t="str">
        <x:v>HDD</x:v>
      </x:c>
      <x:c r="G43" s="12" t="str">
        <x:v>Installation of a new 20-inch water pipeline within the Sakaka project area, including a crossing of the main road by horizontal directional drilling (HDD).</x:v>
      </x:c>
      <x:c r="H43" s="14" t="n">
        <x:v>67</x:v>
      </x:c>
    </x:row>
    <x:row r="44">
      <x:c r="A44" s="12" t="str">
        <x:v>CASE-043</x:v>
      </x:c>
      <x:c r="B44" s="12" t="str">
        <x:v>Jazan Region</x:v>
      </x:c>
      <x:c r="C44" s="12" t="str">
        <x:v>Jazan</x:v>
      </x:c>
      <x:c r="D44" s="12" t="str">
        <x:v>Water Transmission Company (WTCO)</x:v>
      </x:c>
      <x:c r="E44" s="12" t="str">
        <x:v>Pipeline</x:v>
      </x:c>
      <x:c r="F44" s="12" t="str">
        <x:v>HDD</x:v>
      </x:c>
      <x:c r="G44" s="12" t="str">
        <x:v>Installation of a new 18-inch process water pipeline within the Jazan project area, including a crossing of the distribution main by horizontal directional drilling (HDD).</x:v>
      </x:c>
      <x:c r="H44" s="14" t="n">
        <x:v>11</x:v>
      </x:c>
    </x:row>
    <x:row r="45">
      <x:c r="A45" s="12" t="str">
        <x:v>CASE-044</x:v>
      </x:c>
      <x:c r="B45" s="12" t="str">
        <x:v>Riyadh Region</x:v>
      </x:c>
      <x:c r="C45" s="12" t="str">
        <x:v>Al Kharj</x:v>
      </x:c>
      <x:c r="D45" s="12" t="str">
        <x:v>Ministry of Interior (MOI)</x:v>
      </x:c>
      <x:c r="E45" s="12" t="str">
        <x:v>Pipeline</x:v>
      </x:c>
      <x:c r="F45" s="12" t="str">
        <x:v>HDD</x:v>
      </x:c>
      <x:c r="G45" s="12" t="str">
        <x:v>Proposed 30-inch process water pipeline crossing at Al Kharj; the crossing is planned using horizontal directional drilling (HDD) across the controlled area boundary.</x:v>
      </x:c>
      <x:c r="H45" s="14" t="n">
        <x:v>30</x:v>
      </x:c>
    </x:row>
    <x:row r="46">
      <x:c r="A46" s="12" t="str">
        <x:v>CASE-045</x:v>
      </x:c>
      <x:c r="B46" s="12" t="str">
        <x:v>Makkah Region</x:v>
      </x:c>
      <x:c r="C46" s="12" t="str">
        <x:v>Taif</x:v>
      </x:c>
      <x:c r="D46" s="12" t="str">
        <x:v>Ministry of Interior (MOI)</x:v>
      </x:c>
      <x:c r="E46" s="12" t="str">
        <x:v>Pipeline</x:v>
      </x:c>
      <x:c r="F46" s="12" t="str">
        <x:v>Open Cut</x:v>
      </x:c>
      <x:c r="G46" s="12" t="str">
        <x:v>Installation of a new 16-inch process water pipeline within the Taif project area, including a crossing of the security facility access road by open-cut excavation.</x:v>
      </x:c>
      <x:c r="H46" s="14" t="n">
        <x:v>25</x:v>
      </x:c>
    </x:row>
    <x:row r="47">
      <x:c r="A47" s="12" t="str">
        <x:v>CASE-046</x:v>
      </x:c>
      <x:c r="B47" s="12" t="str">
        <x:v>Makkah Region</x:v>
      </x:c>
      <x:c r="C47" s="12" t="str">
        <x:v>Taif</x:v>
      </x:c>
      <x:c r="D47" s="12" t="str">
        <x:v>National Guard</x:v>
      </x:c>
      <x:c r="E47" s="12" t="str">
        <x:v>Well Drilling</x:v>
      </x:c>
      <x:c r="F47" s="12" t="str">
        <x:v>N/A</x:v>
      </x:c>
      <x:c r="G47" s="12" t="str">
        <x:v>Drilling of 1 new water well within the project area near Taif, including temporary access and site preparation.</x:v>
      </x:c>
      <x:c r="H47" s="14" t="n">
        <x:v>60</x:v>
      </x:c>
    </x:row>
    <x:row r="48">
      <x:c r="A48" s="12" t="str">
        <x:v>CASE-047</x:v>
      </x:c>
      <x:c r="B48" s="12" t="str">
        <x:v>Makkah Region</x:v>
      </x:c>
      <x:c r="C48" s="12" t="str">
        <x:v>Jeddah</x:v>
      </x:c>
      <x:c r="D48" s="12" t="str">
        <x:v>Ministry of Transport (MOT)</x:v>
      </x:c>
      <x:c r="E48" s="12" t="str">
        <x:v>Culvert</x:v>
      </x:c>
      <x:c r="F48" s="12" t="str">
        <x:v>N/A</x:v>
      </x:c>
      <x:c r="G48" s="12" t="str">
        <x:v>Construction of a double-cell culvert near Jeddah to support drainage works adjacent to the main road.</x:v>
      </x:c>
      <x:c r="H48" s="14" t="n">
        <x:v>35</x:v>
      </x:c>
    </x:row>
    <x:row r="49">
      <x:c r="A49" s="12" t="str">
        <x:v>CASE-048</x:v>
      </x:c>
      <x:c r="B49" s="12" t="str">
        <x:v>Riyadh Region</x:v>
      </x:c>
      <x:c r="C49" s="12" t="str">
        <x:v>Al Majma'ah</x:v>
      </x:c>
      <x:c r="D49" s="12" t="str">
        <x:v>National Guard</x:v>
      </x:c>
      <x:c r="E49" s="12" t="str">
        <x:v>Pipeline</x:v>
      </x:c>
      <x:c r="F49" s="12" t="str">
        <x:v>Open Cut</x:v>
      </x:c>
      <x:c r="G49" s="12" t="str">
        <x:v>Construction of a 12-inch crude oil pipeline crossing the existing restricted access route near Al Majma'ah using open-cut excavation.</x:v>
      </x:c>
      <x:c r="H49" s="14" t="n">
        <x:v>52</x:v>
      </x:c>
    </x:row>
    <x:row r="50">
      <x:c r="A50" s="12" t="str">
        <x:v>CASE-049</x:v>
      </x:c>
      <x:c r="B50" s="12" t="str">
        <x:v>Riyadh Region</x:v>
      </x:c>
      <x:c r="C50" s="12" t="str">
        <x:v>Al Kharj</x:v>
      </x:c>
      <x:c r="D50" s="12" t="str">
        <x:v>Saudi Arabia Railways (SAR)</x:v>
      </x:c>
      <x:c r="E50" s="12" t="str">
        <x:v>Culvert</x:v>
      </x:c>
      <x:c r="F50" s="12" t="str">
        <x:v>N/A</x:v>
      </x:c>
      <x:c r="G50" s="12" t="str">
        <x:v>Extension and installation of a reinforced concrete culvert in the Al Kharj project area, including temporary traffic and site access arrangements.</x:v>
      </x:c>
      <x:c r="H50" s="14" t="n">
        <x:v>78</x:v>
      </x:c>
    </x:row>
    <x:row r="51">
      <x:c r="A51" s="12" t="str">
        <x:v>CASE-050</x:v>
      </x:c>
      <x:c r="B51" s="12" t="str">
        <x:v>Eastern Region</x:v>
      </x:c>
      <x:c r="C51" s="12" t="str">
        <x:v>Jubail</x:v>
      </x:c>
      <x:c r="D51" s="12" t="str">
        <x:v>Saudi Arabia Railways (SAR)</x:v>
      </x:c>
      <x:c r="E51" s="12" t="str">
        <x:v>Temporary Site</x:v>
      </x:c>
      <x:c r="F51" s="12" t="str">
        <x:v>N/A</x:v>
      </x:c>
      <x:c r="G51" s="12" t="str">
        <x:v>Request for a temporary project support site near Jubail for construction support facilities during the construction period.</x:v>
      </x:c>
      <x:c r="H51" s="14" t="n">
        <x:v>71</x:v>
      </x:c>
    </x:row>
    <x:row r="52">
      <x:c r="A52" s="12" t="str">
        <x:v>CASE-051</x:v>
      </x:c>
      <x:c r="B52" s="12" t="str">
        <x:v>Eastern Region</x:v>
      </x:c>
      <x:c r="C52" s="12" t="str">
        <x:v>Dhahran</x:v>
      </x:c>
      <x:c r="D52" s="12" t="str">
        <x:v>Ministry of Interior (MOI)</x:v>
      </x:c>
      <x:c r="E52" s="12" t="str">
        <x:v>Temporary Site</x:v>
      </x:c>
      <x:c r="F52" s="12" t="str">
        <x:v>N/A</x:v>
      </x:c>
      <x:c r="G52" s="12" t="str">
        <x:v>Establishment of a temporary construction support area in Dhahran for construction support facilities associated with the ongoing project.</x:v>
      </x:c>
      <x:c r="H52" s="14" t="n">
        <x:v>21</x:v>
      </x:c>
    </x:row>
    <x:row r="53">
      <x:c r="A53" s="12" t="str">
        <x:v>CASE-052</x:v>
      </x:c>
      <x:c r="B53" s="12" t="str">
        <x:v>Qassim Region</x:v>
      </x:c>
      <x:c r="C53" s="12" t="str">
        <x:v>Buraydah</x:v>
      </x:c>
      <x:c r="D53" s="12" t="str">
        <x:v>Ministry of Interior (MOI)</x:v>
      </x:c>
      <x:c r="E53" s="12" t="str">
        <x:v>Culvert</x:v>
      </x:c>
      <x:c r="F53" s="12" t="str">
        <x:v>N/A</x:v>
      </x:c>
      <x:c r="G53" s="12" t="str">
        <x:v>Proposed reinforced concrete culvert crossing near Buraydah as part of drainage and infrastructure improvement works.</x:v>
      </x:c>
      <x:c r="H53" s="14" t="n">
        <x:v>24</x:v>
      </x:c>
    </x:row>
    <x:row r="54">
      <x:c r="A54" s="12" t="str">
        <x:v>CASE-053</x:v>
      </x:c>
      <x:c r="B54" s="12" t="str">
        <x:v>Eastern Region</x:v>
      </x:c>
      <x:c r="C54" s="12" t="str">
        <x:v>Al Ahsa</x:v>
      </x:c>
      <x:c r="D54" s="12" t="str">
        <x:v>Saudi Electricity</x:v>
      </x:c>
      <x:c r="E54" s="12" t="str">
        <x:v>Pipeline</x:v>
      </x:c>
      <x:c r="F54" s="12" t="str">
        <x:v>HDD</x:v>
      </x:c>
      <x:c r="G54" s="12" t="str">
        <x:v>Proposed 36-inch water pipeline crossing at Al Ahsa; the crossing is planned using horizontal directional drilling (HDD) across the substation access corridor.</x:v>
      </x:c>
      <x:c r="H54" s="14" t="n">
        <x:v>23</x:v>
      </x:c>
    </x:row>
    <x:row r="55">
      <x:c r="A55" s="12" t="str">
        <x:v>CASE-054</x:v>
      </x:c>
      <x:c r="B55" s="12" t="str">
        <x:v>Eastern Region</x:v>
      </x:c>
      <x:c r="C55" s="12" t="str">
        <x:v>Dhahran</x:v>
      </x:c>
      <x:c r="D55" s="12" t="str">
        <x:v>National Water Company (NWC)</x:v>
      </x:c>
      <x:c r="E55" s="12" t="str">
        <x:v>Pipeline</x:v>
      </x:c>
      <x:c r="F55" s="12" t="str">
        <x:v>HDD</x:v>
      </x:c>
      <x:c r="G55" s="12" t="str">
        <x:v>Construction of a 36-inch process water pipeline crossing the existing existing water pipeline near Dhahran using horizontal directional drilling (HDD).</x:v>
      </x:c>
      <x:c r="H55" s="14" t="n">
        <x:v>23</x:v>
      </x:c>
    </x:row>
    <x:row r="56">
      <x:c r="A56" s="12" t="str">
        <x:v>CASE-055</x:v>
      </x:c>
      <x:c r="B56" s="12" t="str">
        <x:v>Hail Region</x:v>
      </x:c>
      <x:c r="C56" s="12" t="str">
        <x:v>Hail</x:v>
      </x:c>
      <x:c r="D56" s="12" t="str">
        <x:v>Ministry of Interior (MOI)</x:v>
      </x:c>
      <x:c r="E56" s="12" t="str">
        <x:v>Pipeline</x:v>
      </x:c>
      <x:c r="F56" s="12" t="str">
        <x:v>HDD</x:v>
      </x:c>
      <x:c r="G56" s="12" t="str">
        <x:v>Construction of a 10-inch process water pipeline crossing the existing controlled area boundary near Hail using horizontal directional drilling (HDD).</x:v>
      </x:c>
      <x:c r="H56" s="14" t="n">
        <x:v>30</x:v>
      </x:c>
    </x:row>
    <x:row r="57">
      <x:c r="A57" s="12" t="str">
        <x:v>CASE-056</x:v>
      </x:c>
      <x:c r="B57" s="12" t="str">
        <x:v>Northern Borders Region</x:v>
      </x:c>
      <x:c r="C57" s="12" t="str">
        <x:v>Arar</x:v>
      </x:c>
      <x:c r="D57" s="12" t="str">
        <x:v>Water Transmission Company (WTCO)</x:v>
      </x:c>
      <x:c r="E57" s="12" t="str">
        <x:v>Pipeline</x:v>
      </x:c>
      <x:c r="F57" s="12" t="str">
        <x:v>HDD</x:v>
      </x:c>
      <x:c r="G57" s="12" t="str">
        <x:v>Construction of a 18-inch utility pipeline crossing the existing utility corridor near Arar using horizontal directional drilling (HDD).</x:v>
      </x:c>
      <x:c r="H57" s="14" t="n">
        <x:v>14</x:v>
      </x:c>
    </x:row>
    <x:row r="58">
      <x:c r="A58" s="12" t="str">
        <x:v>CASE-057</x:v>
      </x:c>
      <x:c r="B58" s="12" t="str">
        <x:v>Tabuk Region</x:v>
      </x:c>
      <x:c r="C58" s="12" t="str">
        <x:v>Tabuk</x:v>
      </x:c>
      <x:c r="D58" s="12" t="str">
        <x:v>Saudi Electricity</x:v>
      </x:c>
      <x:c r="E58" s="12" t="str">
        <x:v>Pipeline</x:v>
      </x:c>
      <x:c r="F58" s="12" t="str">
        <x:v>HDD</x:v>
      </x:c>
      <x:c r="G58" s="12" t="str">
        <x:v>Installation of a new 24-inch water pipeline within the Tabuk project area, including a crossing of the electrical utility corridor by horizontal directional drilling (HDD).</x:v>
      </x:c>
      <x:c r="H58" s="14" t="n">
        <x:v>19</x:v>
      </x:c>
    </x:row>
    <x:row r="59">
      <x:c r="A59" s="12" t="str">
        <x:v>CASE-058</x:v>
      </x:c>
      <x:c r="B59" s="12" t="str">
        <x:v>Eastern Region</x:v>
      </x:c>
      <x:c r="C59" s="12" t="str">
        <x:v>Ras Tanura</x:v>
      </x:c>
      <x:c r="D59" s="12" t="str">
        <x:v>Ministry of Transport (MOT)</x:v>
      </x:c>
      <x:c r="E59" s="12" t="str">
        <x:v>Borrow Pit</x:v>
      </x:c>
      <x:c r="F59" s="12" t="str">
        <x:v>N/A</x:v>
      </x:c>
      <x:c r="G59" s="12" t="str">
        <x:v>Request to use a temporary borrow pit near Ras Tanura to obtain selected backfill for project earthworks.</x:v>
      </x:c>
      <x:c r="H59" s="14" t="n">
        <x:v>71</x:v>
      </x:c>
    </x:row>
    <x:row r="60">
      <x:c r="A60" s="12" t="str">
        <x:v>CASE-059</x:v>
      </x:c>
      <x:c r="B60" s="12" t="str">
        <x:v>Madinah Region</x:v>
      </x:c>
      <x:c r="C60" s="12" t="str">
        <x:v>Madinah</x:v>
      </x:c>
      <x:c r="D60" s="12" t="str">
        <x:v>National Water Company (NWC)</x:v>
      </x:c>
      <x:c r="E60" s="12" t="str">
        <x:v>Culvert</x:v>
      </x:c>
      <x:c r="F60" s="12" t="str">
        <x:v>N/A</x:v>
      </x:c>
      <x:c r="G60" s="12" t="str">
        <x:v>Proposed box culvert crossing near Madinah as part of drainage and infrastructure improvement works.</x:v>
      </x:c>
      <x:c r="H60" s="14" t="n">
        <x:v>20</x:v>
      </x:c>
    </x:row>
    <x:row r="61">
      <x:c r="A61" s="12" t="str">
        <x:v>CASE-060</x:v>
      </x:c>
      <x:c r="B61" s="12" t="str">
        <x:v>Eastern Region</x:v>
      </x:c>
      <x:c r="C61" s="12" t="str">
        <x:v>Al Khobar</x:v>
      </x:c>
      <x:c r="D61" s="12" t="str">
        <x:v>Ministry of Transport (MOT)</x:v>
      </x:c>
      <x:c r="E61" s="12" t="str">
        <x:v>Well Drilling</x:v>
      </x:c>
      <x:c r="F61" s="12" t="str">
        <x:v>N/A</x:v>
      </x:c>
      <x:c r="G61" s="12" t="str">
        <x:v>Proposed water well drilling works near Al Khobar, including drilling pad preparation and temporary access.</x:v>
      </x:c>
      <x:c r="H61" s="14" t="n">
        <x:v>53</x:v>
      </x:c>
    </x:row>
    <x:row r="62">
      <x:c r="A62" s="12" t="str">
        <x:v>CASE-061</x:v>
      </x:c>
      <x:c r="B62" s="12" t="str">
        <x:v>Riyadh Region</x:v>
      </x:c>
      <x:c r="C62" s="12" t="str">
        <x:v>Al Majma'ah</x:v>
      </x:c>
      <x:c r="D62" s="12" t="str">
        <x:v>National Water Company (NWC)</x:v>
      </x:c>
      <x:c r="E62" s="12" t="str">
        <x:v>Pipeline</x:v>
      </x:c>
      <x:c r="F62" s="12" t="str">
        <x:v>Open Cut</x:v>
      </x:c>
      <x:c r="G62" s="12" t="str">
        <x:v>Construction of a 20-inch gas pipeline crossing the existing water transmission line near Al Majma'ah using open-cut excavation.</x:v>
      </x:c>
      <x:c r="H62" s="14" t="n">
        <x:v>26</x:v>
      </x:c>
    </x:row>
    <x:row r="63">
      <x:c r="A63" s="12" t="str">
        <x:v>CASE-062</x:v>
      </x:c>
      <x:c r="B63" s="12" t="str">
        <x:v>Eastern Region</x:v>
      </x:c>
      <x:c r="C63" s="12" t="str">
        <x:v>Al Khobar</x:v>
      </x:c>
      <x:c r="D63" s="12" t="str">
        <x:v>Ministry of Defense (MOD)</x:v>
      </x:c>
      <x:c r="E63" s="12" t="str">
        <x:v>Temporary Site</x:v>
      </x:c>
      <x:c r="F63" s="12" t="str">
        <x:v>N/A</x:v>
      </x:c>
      <x:c r="G63" s="12" t="str">
        <x:v>Establishment of a temporary construction support area in Al Khobar for equipment staging associated with the ongoing project.</x:v>
      </x:c>
      <x:c r="H63" s="14" t="n">
        <x:v>42</x:v>
      </x:c>
    </x:row>
    <x:row r="64">
      <x:c r="A64" s="12" t="str">
        <x:v>CASE-063</x:v>
      </x:c>
      <x:c r="B64" s="12" t="str">
        <x:v>Makkah Region</x:v>
      </x:c>
      <x:c r="C64" s="12" t="str">
        <x:v>Jeddah</x:v>
      </x:c>
      <x:c r="D64" s="12" t="str">
        <x:v>Ministry of Interior (MOI)</x:v>
      </x:c>
      <x:c r="E64" s="12" t="str">
        <x:v>Well Drilling</x:v>
      </x:c>
      <x:c r="F64" s="12" t="str">
        <x:v>N/A</x:v>
      </x:c>
      <x:c r="G64" s="12" t="str">
        <x:v>Construction activity for 4 observation wells in the Jeddah project area with associated site preparation.</x:v>
      </x:c>
      <x:c r="H64" s="14" t="n">
        <x:v>26</x:v>
      </x:c>
    </x:row>
    <x:row r="65">
      <x:c r="A65" s="12" t="str">
        <x:v>CASE-064</x:v>
      </x:c>
      <x:c r="B65" s="12" t="str">
        <x:v>Riyadh Region</x:v>
      </x:c>
      <x:c r="C65" s="12" t="str">
        <x:v>Al Majma'ah</x:v>
      </x:c>
      <x:c r="D65" s="12" t="str">
        <x:v>Saudi Electricity</x:v>
      </x:c>
      <x:c r="E65" s="12" t="str">
        <x:v>Pipeline</x:v>
      </x:c>
      <x:c r="F65" s="12" t="str">
        <x:v>Open Cut</x:v>
      </x:c>
      <x:c r="G65" s="12" t="str">
        <x:v>Construction of a 24-inch crude oil pipeline crossing the existing substation access corridor near Al Majma'ah using open-cut excavation.</x:v>
      </x:c>
      <x:c r="H65" s="14" t="n">
        <x:v>30</x:v>
      </x:c>
    </x:row>
    <x:row r="66">
      <x:c r="A66" s="12" t="str">
        <x:v>CASE-065</x:v>
      </x:c>
      <x:c r="B66" s="12" t="str">
        <x:v>Riyadh Region</x:v>
      </x:c>
      <x:c r="C66" s="12" t="str">
        <x:v>Al Majma'ah</x:v>
      </x:c>
      <x:c r="D66" s="12" t="str">
        <x:v>Water Transmission Company (WTCO)</x:v>
      </x:c>
      <x:c r="E66" s="12" t="str">
        <x:v>Pipeline</x:v>
      </x:c>
      <x:c r="F66" s="12" t="str">
        <x:v>Open Cut</x:v>
      </x:c>
      <x:c r="G66" s="12" t="str">
        <x:v>Construction of a 10-inch utility pipeline crossing the existing water transmission line near Al Majma'ah using open-cut excavation.</x:v>
      </x:c>
      <x:c r="H66" s="14" t="n">
        <x:v>20</x:v>
      </x:c>
    </x:row>
    <x:row r="67">
      <x:c r="A67" s="12" t="str">
        <x:v>CASE-066</x:v>
      </x:c>
      <x:c r="B67" s="12" t="str">
        <x:v>Makkah Region</x:v>
      </x:c>
      <x:c r="C67" s="12" t="str">
        <x:v>Jeddah</x:v>
      </x:c>
      <x:c r="D67" s="12" t="str">
        <x:v>Ministry of Transport (MOT)</x:v>
      </x:c>
      <x:c r="E67" s="12" t="str">
        <x:v>Temporary Site</x:v>
      </x:c>
      <x:c r="F67" s="12" t="str">
        <x:v>N/A</x:v>
      </x:c>
      <x:c r="G67" s="12" t="str">
        <x:v>Request for a temporary project support site near Jeddah for equipment staging during the construction period.</x:v>
      </x:c>
      <x:c r="H67" s="14" t="n">
        <x:v>38</x:v>
      </x:c>
    </x:row>
    <x:row r="68">
      <x:c r="A68" s="12" t="str">
        <x:v>CASE-067</x:v>
      </x:c>
      <x:c r="B68" s="12" t="str">
        <x:v>Riyadh Region</x:v>
      </x:c>
      <x:c r="C68" s="12" t="str">
        <x:v>Riyadh</x:v>
      </x:c>
      <x:c r="D68" s="12" t="str">
        <x:v>National Guard</x:v>
      </x:c>
      <x:c r="E68" s="12" t="str">
        <x:v>Culvert</x:v>
      </x:c>
      <x:c r="F68" s="12" t="str">
        <x:v>N/A</x:v>
      </x:c>
      <x:c r="G68" s="12" t="str">
        <x:v>Proposed single-cell culvert crossing near Riyadh as part of drainage and infrastructure improvement works.</x:v>
      </x:c>
      <x:c r="H68" s="14" t="n">
        <x:v>42</x:v>
      </x:c>
    </x:row>
    <x:row r="69">
      <x:c r="A69" s="12" t="str">
        <x:v>CASE-068</x:v>
      </x:c>
      <x:c r="B69" s="12" t="str">
        <x:v>Makkah Region</x:v>
      </x:c>
      <x:c r="C69" s="12" t="str">
        <x:v>Taif</x:v>
      </x:c>
      <x:c r="D69" s="12" t="str">
        <x:v>National Guard</x:v>
      </x:c>
      <x:c r="E69" s="12" t="str">
        <x:v>Temporary Site</x:v>
      </x:c>
      <x:c r="F69" s="12" t="str">
        <x:v>N/A</x:v>
      </x:c>
      <x:c r="G69" s="12" t="str">
        <x:v>Temporary site request adjacent to the project area in Taif to accommodate equipment staging and site logistics.</x:v>
      </x:c>
      <x:c r="H69" s="14" t="n">
        <x:v>48</x:v>
      </x:c>
    </x:row>
    <x:row r="70">
      <x:c r="A70" s="12" t="str">
        <x:v>CASE-069</x:v>
      </x:c>
      <x:c r="B70" s="12" t="str">
        <x:v>Eastern Region</x:v>
      </x:c>
      <x:c r="C70" s="12" t="str">
        <x:v>Al Ahsa</x:v>
      </x:c>
      <x:c r="D70" s="12" t="str">
        <x:v>Ministry of Transport (MOT)</x:v>
      </x:c>
      <x:c r="E70" s="12" t="str">
        <x:v>Pipeline</x:v>
      </x:c>
      <x:c r="F70" s="12" t="str">
        <x:v>Open Cut</x:v>
      </x:c>
      <x:c r="G70" s="12" t="str">
        <x:v>Installation of a new 36-inch crude oil pipeline within the Al Ahsa project area, including a crossing of the highway by open-cut excavation.</x:v>
      </x:c>
      <x:c r="H70" s="14" t="n">
        <x:v>53</x:v>
      </x:c>
    </x:row>
    <x:row r="71">
      <x:c r="A71" s="12" t="str">
        <x:v>CASE-070</x:v>
      </x:c>
      <x:c r="B71" s="12" t="str">
        <x:v>Madinah Region</x:v>
      </x:c>
      <x:c r="C71" s="12" t="str">
        <x:v>Madinah</x:v>
      </x:c>
      <x:c r="D71" s="12" t="str">
        <x:v>National Guard</x:v>
      </x:c>
      <x:c r="E71" s="12" t="str">
        <x:v>Temporary Site</x:v>
      </x:c>
      <x:c r="F71" s="12" t="str">
        <x:v>N/A</x:v>
      </x:c>
      <x:c r="G71" s="12" t="str">
        <x:v>Temporary site request adjacent to the project area in Madinah to accommodate contractor offices and site logistics.</x:v>
      </x:c>
      <x:c r="H71" s="14" t="n">
        <x:v>40</x:v>
      </x:c>
    </x:row>
    <x:row r="72">
      <x:c r="A72" s="12" t="str">
        <x:v>CASE-071</x:v>
      </x:c>
      <x:c r="B72" s="12" t="str">
        <x:v>Eastern Region</x:v>
      </x:c>
      <x:c r="C72" s="12" t="str">
        <x:v>Al Ahsa</x:v>
      </x:c>
      <x:c r="D72" s="12" t="str">
        <x:v>National Water Company (NWC)</x:v>
      </x:c>
      <x:c r="E72" s="12" t="str">
        <x:v>Pipeline</x:v>
      </x:c>
      <x:c r="F72" s="12" t="str">
        <x:v>Open Cut</x:v>
      </x:c>
      <x:c r="G72" s="12" t="str">
        <x:v>Installation of a new 10-inch process water pipeline within the Al Ahsa project area, including a crossing of the water transmission line by open-cut excavation.</x:v>
      </x:c>
      <x:c r="H72" s="14" t="n">
        <x:v>23</x:v>
      </x:c>
    </x:row>
    <x:row r="73">
      <x:c r="A73" s="12" t="str">
        <x:v>CASE-072</x:v>
      </x:c>
      <x:c r="B73" s="12" t="str">
        <x:v>Eastern Region</x:v>
      </x:c>
      <x:c r="C73" s="12" t="str">
        <x:v>Dammam</x:v>
      </x:c>
      <x:c r="D73" s="12" t="str">
        <x:v>National Guard</x:v>
      </x:c>
      <x:c r="E73" s="12" t="str">
        <x:v>Pipeline</x:v>
      </x:c>
      <x:c r="F73" s="12" t="str">
        <x:v>HDD</x:v>
      </x:c>
      <x:c r="G73" s="12" t="str">
        <x:v>Construction of a 6-inch water pipeline crossing the existing restricted access route near Dammam using horizontal directional drilling (HDD).</x:v>
      </x:c>
      <x:c r="H73" s="14" t="n">
        <x:v>45</x:v>
      </x:c>
    </x:row>
    <x:row r="74">
      <x:c r="A74" s="12" t="str">
        <x:v>CASE-073</x:v>
      </x:c>
      <x:c r="B74" s="12" t="str">
        <x:v>Riyadh Region</x:v>
      </x:c>
      <x:c r="C74" s="12" t="str">
        <x:v>Riyadh</x:v>
      </x:c>
      <x:c r="D74" s="12" t="str">
        <x:v>National Guard</x:v>
      </x:c>
      <x:c r="E74" s="12" t="str">
        <x:v>Temporary Site</x:v>
      </x:c>
      <x:c r="F74" s="12" t="str">
        <x:v>N/A</x:v>
      </x:c>
      <x:c r="G74" s="12" t="str">
        <x:v>Establishment of a temporary construction support area in Riyadh for contractor offices associated with the ongoing project.</x:v>
      </x:c>
      <x:c r="H74" s="14" t="n">
        <x:v>39</x:v>
      </x:c>
    </x:row>
    <x:row r="75">
      <x:c r="A75" s="12" t="str">
        <x:v>CASE-074</x:v>
      </x:c>
      <x:c r="B75" s="12" t="str">
        <x:v>Makkah Region</x:v>
      </x:c>
      <x:c r="C75" s="12" t="str">
        <x:v>Taif</x:v>
      </x:c>
      <x:c r="D75" s="12" t="str">
        <x:v>Ministry of Transport (MOT)</x:v>
      </x:c>
      <x:c r="E75" s="12" t="str">
        <x:v>Pipeline</x:v>
      </x:c>
      <x:c r="F75" s="12" t="str">
        <x:v>HDD</x:v>
      </x:c>
      <x:c r="G75" s="12" t="str">
        <x:v>Construction of a 48-inch utility pipeline crossing the existing service road near Taif using horizontal directional drilling (HDD).</x:v>
      </x:c>
      <x:c r="H75" s="14" t="n">
        <x:v>65</x:v>
      </x:c>
    </x:row>
    <x:row r="76">
      <x:c r="A76" s="12" t="str">
        <x:v>CASE-075</x:v>
      </x:c>
      <x:c r="B76" s="12" t="str">
        <x:v>Eastern Region</x:v>
      </x:c>
      <x:c r="C76" s="12" t="str">
        <x:v>Al Ahsa</x:v>
      </x:c>
      <x:c r="D76" s="12" t="str">
        <x:v>National Water Company (NWC)</x:v>
      </x:c>
      <x:c r="E76" s="12" t="str">
        <x:v>Borrow Pit</x:v>
      </x:c>
      <x:c r="F76" s="12" t="str">
        <x:v>N/A</x:v>
      </x:c>
      <x:c r="G76" s="12" t="str">
        <x:v>Temporary borrow pit request near Al Ahsa to support project earthworks and supply approved fill material.</x:v>
      </x:c>
      <x:c r="H76" s="14" t="n">
        <x:v>24</x:v>
      </x:c>
    </x:row>
    <x:row r="77">
      <x:c r="A77" s="12" t="str">
        <x:v>CASE-076</x:v>
      </x:c>
      <x:c r="B77" s="12" t="str">
        <x:v>Makkah Region</x:v>
      </x:c>
      <x:c r="C77" s="12" t="str">
        <x:v>Taif</x:v>
      </x:c>
      <x:c r="D77" s="12" t="str">
        <x:v>National Water Company (NWC)</x:v>
      </x:c>
      <x:c r="E77" s="12" t="str">
        <x:v>Pipeline</x:v>
      </x:c>
      <x:c r="F77" s="12" t="str">
        <x:v>Open Cut</x:v>
      </x:c>
      <x:c r="G77" s="12" t="str">
        <x:v>Proposed 30-inch water pipeline crossing at Taif; the crossing is planned using open-cut excavation across the utility corridor.</x:v>
      </x:c>
      <x:c r="H77" s="14" t="n">
        <x:v>29</x:v>
      </x:c>
    </x:row>
    <x:row r="78">
      <x:c r="A78" s="12" t="str">
        <x:v>CASE-077</x:v>
      </x:c>
      <x:c r="B78" s="12" t="str">
        <x:v>Jazan Region</x:v>
      </x:c>
      <x:c r="C78" s="12" t="str">
        <x:v>Jazan</x:v>
      </x:c>
      <x:c r="D78" s="12" t="str">
        <x:v>Ministry of Transport (MOT)</x:v>
      </x:c>
      <x:c r="E78" s="12" t="str">
        <x:v>Pipeline</x:v>
      </x:c>
      <x:c r="F78" s="12" t="str">
        <x:v>HDD</x:v>
      </x:c>
      <x:c r="G78" s="12" t="str">
        <x:v>Construction of a 16-inch water pipeline crossing the existing service road near Jazan using horizontal directional drilling (HDD).</x:v>
      </x:c>
      <x:c r="H78" s="14" t="n">
        <x:v>81</x:v>
      </x:c>
    </x:row>
    <x:row r="79">
      <x:c r="A79" s="12" t="str">
        <x:v>CASE-078</x:v>
      </x:c>
      <x:c r="B79" s="12" t="str">
        <x:v>Eastern Region</x:v>
      </x:c>
      <x:c r="C79" s="12" t="str">
        <x:v>Abqaiq</x:v>
      </x:c>
      <x:c r="D79" s="12" t="str">
        <x:v>Ministry of Transport (MOT)</x:v>
      </x:c>
      <x:c r="E79" s="12" t="str">
        <x:v>Culvert</x:v>
      </x:c>
      <x:c r="F79" s="12" t="str">
        <x:v>N/A</x:v>
      </x:c>
      <x:c r="G79" s="12" t="str">
        <x:v>Extension and installation of a reinforced concrete culvert in the Abqaiq project area, including temporary traffic and site access arrangements.</x:v>
      </x:c>
      <x:c r="H79" s="14" t="n">
        <x:v>38</x:v>
      </x:c>
    </x:row>
    <x:row r="80">
      <x:c r="A80" s="12" t="str">
        <x:v>CASE-079</x:v>
      </x:c>
      <x:c r="B80" s="12" t="str">
        <x:v>Eastern Region</x:v>
      </x:c>
      <x:c r="C80" s="12" t="str">
        <x:v>Dhahran</x:v>
      </x:c>
      <x:c r="D80" s="12" t="str">
        <x:v>Ministry of Transport (MOT)</x:v>
      </x:c>
      <x:c r="E80" s="12" t="str">
        <x:v>Borrow Pit</x:v>
      </x:c>
      <x:c r="F80" s="12" t="str">
        <x:v>N/A</x:v>
      </x:c>
      <x:c r="G80" s="12" t="str">
        <x:v>Request to use a temporary borrow pit near Dhahran to obtain construction soil for project earthworks.</x:v>
      </x:c>
      <x:c r="H80" s="14" t="n">
        <x:v>38</x:v>
      </x:c>
    </x:row>
    <x:row r="81">
      <x:c r="A81" s="12" t="str">
        <x:v>CASE-080</x:v>
      </x:c>
      <x:c r="B81" s="12" t="str">
        <x:v>Eastern Region</x:v>
      </x:c>
      <x:c r="C81" s="12" t="str">
        <x:v>Al Khobar</x:v>
      </x:c>
      <x:c r="D81" s="12" t="str">
        <x:v>National Water Company (NWC)</x:v>
      </x:c>
      <x:c r="E81" s="12" t="str">
        <x:v>Pipeline</x:v>
      </x:c>
      <x:c r="F81" s="12" t="str">
        <x:v>HDD</x:v>
      </x:c>
      <x:c r="G81" s="12" t="str">
        <x:v>Proposed 6-inch gas pipeline crossing at Al Khobar; the crossing is planned using horizontal directional drilling (HDD) across the utility corridor.</x:v>
      </x:c>
      <x:c r="H81" s="14" t="n">
        <x:v>26</x:v>
      </x:c>
    </x:row>
    <x:row r="82">
      <x:c r="A82" s="12" t="str">
        <x:v>CASE-081</x:v>
      </x:c>
      <x:c r="B82" s="12" t="str">
        <x:v>Eastern Region</x:v>
      </x:c>
      <x:c r="C82" s="12" t="str">
        <x:v>Dammam</x:v>
      </x:c>
      <x:c r="D82" s="12" t="str">
        <x:v>Ministry of Transport (MOT)</x:v>
      </x:c>
      <x:c r="E82" s="12" t="str">
        <x:v>Well Drilling</x:v>
      </x:c>
      <x:c r="F82" s="12" t="str">
        <x:v>N/A</x:v>
      </x:c>
      <x:c r="G82" s="12" t="str">
        <x:v>Construction activity for 5 water wells in the Dammam project area with associated site preparation.</x:v>
      </x:c>
      <x:c r="H82" s="14" t="n">
        <x:v>84</x:v>
      </x:c>
    </x:row>
    <x:row r="83">
      <x:c r="A83" s="12" t="str">
        <x:v>CASE-082</x:v>
      </x:c>
      <x:c r="B83" s="12" t="str">
        <x:v>Northern Borders Region</x:v>
      </x:c>
      <x:c r="C83" s="12" t="str">
        <x:v>Turaif</x:v>
      </x:c>
      <x:c r="D83" s="12" t="str">
        <x:v>Border Guard</x:v>
      </x:c>
      <x:c r="E83" s="12" t="str">
        <x:v>Pipeline</x:v>
      </x:c>
      <x:c r="F83" s="12" t="str">
        <x:v>HDD</x:v>
      </x:c>
      <x:c r="G83" s="12" t="str">
        <x:v>Proposed 8-inch utility pipeline crossing at Turaif; the crossing is planned using horizontal directional drilling (HDD) across the restricted access route.</x:v>
      </x:c>
      <x:c r="H83" s="14" t="n">
        <x:v>30</x:v>
      </x:c>
    </x:row>
    <x:row r="84">
      <x:c r="A84" s="12" t="str">
        <x:v>CASE-083</x:v>
      </x:c>
      <x:c r="B84" s="12" t="str">
        <x:v>Hail Region</x:v>
      </x:c>
      <x:c r="C84" s="12" t="str">
        <x:v>Hail</x:v>
      </x:c>
      <x:c r="D84" s="12" t="str">
        <x:v>Water Transmission Company (WTCO)</x:v>
      </x:c>
      <x:c r="E84" s="12" t="str">
        <x:v>Pipeline</x:v>
      </x:c>
      <x:c r="F84" s="12" t="str">
        <x:v>HDD</x:v>
      </x:c>
      <x:c r="G84" s="12" t="str">
        <x:v>Installation of a new 6-inch crude oil pipeline within the Hail project area, including a crossing of the distribution main by horizontal directional drilling (HDD).</x:v>
      </x:c>
      <x:c r="H84" s="14" t="n">
        <x:v>14</x:v>
      </x:c>
    </x:row>
    <x:row r="85">
      <x:c r="A85" s="12" t="str">
        <x:v>CASE-084</x:v>
      </x:c>
      <x:c r="B85" s="12" t="str">
        <x:v>Madinah Region</x:v>
      </x:c>
      <x:c r="C85" s="12" t="str">
        <x:v>Yanbu</x:v>
      </x:c>
      <x:c r="D85" s="12" t="str">
        <x:v>Ministry of Transport (MOT)</x:v>
      </x:c>
      <x:c r="E85" s="12" t="str">
        <x:v>Pipeline</x:v>
      </x:c>
      <x:c r="F85" s="12" t="str">
        <x:v>HDD</x:v>
      </x:c>
      <x:c r="G85" s="12" t="str">
        <x:v>Construction of a 48-inch process water pipeline crossing the existing highway near Yanbu using horizontal directional drilling (HDD).</x:v>
      </x:c>
      <x:c r="H85" s="14" t="n">
        <x:v>107</x:v>
      </x:c>
    </x:row>
    <x:row r="86">
      <x:c r="A86" s="12" t="str">
        <x:v>CASE-085</x:v>
      </x:c>
      <x:c r="B86" s="12" t="str">
        <x:v>Riyadh Region</x:v>
      </x:c>
      <x:c r="C86" s="12" t="str">
        <x:v>Riyadh</x:v>
      </x:c>
      <x:c r="D86" s="12" t="str">
        <x:v>Water Transmission Company (WTCO)</x:v>
      </x:c>
      <x:c r="E86" s="12" t="str">
        <x:v>Well Drilling</x:v>
      </x:c>
      <x:c r="F86" s="12" t="str">
        <x:v>N/A</x:v>
      </x:c>
      <x:c r="G86" s="12" t="str">
        <x:v>Drilling of 5 new monitoring wells within the project area near Riyadh, including temporary access and site preparation.</x:v>
      </x:c>
      <x:c r="H86" s="14" t="n">
        <x:v>27</x:v>
      </x:c>
    </x:row>
    <x:row r="87">
      <x:c r="A87" s="12" t="str">
        <x:v>CASE-086</x:v>
      </x:c>
      <x:c r="B87" s="12" t="str">
        <x:v>Northern Borders Region</x:v>
      </x:c>
      <x:c r="C87" s="12" t="str">
        <x:v>Rafha</x:v>
      </x:c>
      <x:c r="D87" s="12" t="str">
        <x:v>National Water Company (NWC)</x:v>
      </x:c>
      <x:c r="E87" s="12" t="str">
        <x:v>Well Drilling</x:v>
      </x:c>
      <x:c r="F87" s="12" t="str">
        <x:v>N/A</x:v>
      </x:c>
      <x:c r="G87" s="12" t="str">
        <x:v>Construction activity for 2 water wells in the Rafha project area with associated site preparation.</x:v>
      </x:c>
      <x:c r="H87" s="14" t="n">
        <x:v>24</x:v>
      </x:c>
    </x:row>
    <x:row r="88">
      <x:c r="A88" s="12" t="str">
        <x:v>CASE-087</x:v>
      </x:c>
      <x:c r="B88" s="12" t="str">
        <x:v>Northern Borders Region</x:v>
      </x:c>
      <x:c r="C88" s="12" t="str">
        <x:v>Rafha</x:v>
      </x:c>
      <x:c r="D88" s="12" t="str">
        <x:v>Border Guard</x:v>
      </x:c>
      <x:c r="E88" s="12" t="str">
        <x:v>Pipeline</x:v>
      </x:c>
      <x:c r="F88" s="12" t="str">
        <x:v>Open Cut</x:v>
      </x:c>
      <x:c r="G88" s="12" t="str">
        <x:v>Proposed 18-inch gas pipeline crossing at Rafha; the crossing is planned using open-cut excavation across the security facility access road.</x:v>
      </x:c>
      <x:c r="H88" s="14" t="n">
        <x:v>28</x:v>
      </x:c>
    </x:row>
    <x:row r="89">
      <x:c r="A89" s="12" t="str">
        <x:v>CASE-088</x:v>
      </x:c>
      <x:c r="B89" s="12" t="str">
        <x:v>Eastern Region</x:v>
      </x:c>
      <x:c r="C89" s="12" t="str">
        <x:v>Al Khobar</x:v>
      </x:c>
      <x:c r="D89" s="12" t="str">
        <x:v>Saudi Arabia Railways (SAR)</x:v>
      </x:c>
      <x:c r="E89" s="12" t="str">
        <x:v>Temporary Site</x:v>
      </x:c>
      <x:c r="F89" s="12" t="str">
        <x:v>N/A</x:v>
      </x:c>
      <x:c r="G89" s="12" t="str">
        <x:v>Temporary site request adjacent to the project area in Al Khobar to accommodate construction support facilities and site logistics.</x:v>
      </x:c>
      <x:c r="H89" s="14" t="n">
        <x:v>78</x:v>
      </x:c>
    </x:row>
    <x:row r="90">
      <x:c r="A90" s="12" t="str">
        <x:v>CASE-089</x:v>
      </x:c>
      <x:c r="B90" s="12" t="str">
        <x:v>Madinah Region</x:v>
      </x:c>
      <x:c r="C90" s="12" t="str">
        <x:v>Madinah</x:v>
      </x:c>
      <x:c r="D90" s="12" t="str">
        <x:v>National Guard</x:v>
      </x:c>
      <x:c r="E90" s="12" t="str">
        <x:v>Pipeline</x:v>
      </x:c>
      <x:c r="F90" s="12" t="str">
        <x:v>Open Cut</x:v>
      </x:c>
      <x:c r="G90" s="12" t="str">
        <x:v>Installation of a new 30-inch utility pipeline within the Madinah project area, including a crossing of the restricted access route by open-cut excavation.</x:v>
      </x:c>
      <x:c r="H90" s="14" t="n">
        <x:v>60</x:v>
      </x:c>
    </x:row>
    <x:row r="91">
      <x:c r="A91" s="12" t="str">
        <x:v>CASE-090</x:v>
      </x:c>
      <x:c r="B91" s="12" t="str">
        <x:v>Eastern Region</x:v>
      </x:c>
      <x:c r="C91" s="12" t="str">
        <x:v>Al Ahsa</x:v>
      </x:c>
      <x:c r="D91" s="12" t="str">
        <x:v>Ministry of Transport (MOT)</x:v>
      </x:c>
      <x:c r="E91" s="12" t="str">
        <x:v>Culvert</x:v>
      </x:c>
      <x:c r="F91" s="12" t="str">
        <x:v>N/A</x:v>
      </x:c>
      <x:c r="G91" s="12" t="str">
        <x:v>Construction of a single-cell culvert near Al Ahsa to support drainage works adjacent to the service road.</x:v>
      </x:c>
      <x:c r="H91" s="14" t="n">
        <x:v>44</x:v>
      </x:c>
    </x:row>
    <x:row r="92">
      <x:c r="A92" s="12" t="str">
        <x:v>CASE-091</x:v>
      </x:c>
      <x:c r="B92" s="12" t="str">
        <x:v>Al Jouf Region</x:v>
      </x:c>
      <x:c r="C92" s="12" t="str">
        <x:v>Sakaka</x:v>
      </x:c>
      <x:c r="D92" s="12" t="str">
        <x:v>Ministry of Transport (MOT)</x:v>
      </x:c>
      <x:c r="E92" s="12" t="str">
        <x:v>Pipeline</x:v>
      </x:c>
      <x:c r="F92" s="12" t="str">
        <x:v>HDD</x:v>
      </x:c>
      <x:c r="G92" s="12" t="str">
        <x:v>Installation of a new 10-inch gas pipeline within the Sakaka project area, including a crossing of the service road by horizontal directional drilling (HDD).</x:v>
      </x:c>
      <x:c r="H92" s="14" t="n">
        <x:v>37</x:v>
      </x:c>
    </x:row>
    <x:row r="93">
      <x:c r="A93" s="12" t="str">
        <x:v>CASE-092</x:v>
      </x:c>
      <x:c r="B93" s="12" t="str">
        <x:v>Eastern Region</x:v>
      </x:c>
      <x:c r="C93" s="12" t="str">
        <x:v>Al Ahsa</x:v>
      </x:c>
      <x:c r="D93" s="12" t="str">
        <x:v>National Water Company (NWC)</x:v>
      </x:c>
      <x:c r="E93" s="12" t="str">
        <x:v>Pipeline</x:v>
      </x:c>
      <x:c r="F93" s="12" t="str">
        <x:v>HDD</x:v>
      </x:c>
      <x:c r="G93" s="12" t="str">
        <x:v>Installation of a new 16-inch utility pipeline within the Al Ahsa project area, including a crossing of the distribution main by horizontal directional drilling (HDD).</x:v>
      </x:c>
      <x:c r="H93" s="14" t="n">
        <x:v>25</x:v>
      </x:c>
    </x:row>
    <x:row r="94">
      <x:c r="A94" s="12" t="str">
        <x:v>CASE-093</x:v>
      </x:c>
      <x:c r="B94" s="12" t="str">
        <x:v>Eastern Region</x:v>
      </x:c>
      <x:c r="C94" s="12" t="str">
        <x:v>Al Ahsa</x:v>
      </x:c>
      <x:c r="D94" s="12" t="str">
        <x:v>Border Guard</x:v>
      </x:c>
      <x:c r="E94" s="12" t="str">
        <x:v>Well Drilling</x:v>
      </x:c>
      <x:c r="F94" s="12" t="str">
        <x:v>N/A</x:v>
      </x:c>
      <x:c r="G94" s="12" t="str">
        <x:v>Drilling of 1 new monitoring well within the project area near Al Ahsa, including temporary access and site preparation.</x:v>
      </x:c>
      <x:c r="H94" s="14" t="n">
        <x:v>21</x:v>
      </x:c>
    </x:row>
    <x:row r="95">
      <x:c r="A95" s="12" t="str">
        <x:v>CASE-094</x:v>
      </x:c>
      <x:c r="B95" s="12" t="str">
        <x:v>Qassim Region</x:v>
      </x:c>
      <x:c r="C95" s="12" t="str">
        <x:v>Buraydah</x:v>
      </x:c>
      <x:c r="D95" s="12" t="str">
        <x:v>Water Transmission Company (WTCO)</x:v>
      </x:c>
      <x:c r="E95" s="12" t="str">
        <x:v>Pipeline</x:v>
      </x:c>
      <x:c r="F95" s="12" t="str">
        <x:v>HDD</x:v>
      </x:c>
      <x:c r="G95" s="12" t="str">
        <x:v>Proposed 18-inch process water pipeline crossing at Buraydah; the crossing is planned using horizontal directional drilling (HDD) across the utility corridor.</x:v>
      </x:c>
      <x:c r="H95" s="14" t="n">
        <x:v>11</x:v>
      </x:c>
    </x:row>
    <x:row r="96">
      <x:c r="A96" s="12" t="str">
        <x:v>CASE-095</x:v>
      </x:c>
      <x:c r="B96" s="12" t="str">
        <x:v>Eastern Region</x:v>
      </x:c>
      <x:c r="C96" s="12" t="str">
        <x:v>Khafji</x:v>
      </x:c>
      <x:c r="D96" s="12" t="str">
        <x:v>Border Guard</x:v>
      </x:c>
      <x:c r="E96" s="12" t="str">
        <x:v>Temporary Site</x:v>
      </x:c>
      <x:c r="F96" s="12" t="str">
        <x:v>N/A</x:v>
      </x:c>
      <x:c r="G96" s="12" t="str">
        <x:v>Establishment of a temporary construction support area in Khafji for material storage associated with the ongoing project.</x:v>
      </x:c>
      <x:c r="H96" s="14" t="n">
        <x:v>23</x:v>
      </x:c>
    </x:row>
    <x:row r="97">
      <x:c r="A97" s="12" t="str">
        <x:v>CASE-096</x:v>
      </x:c>
      <x:c r="B97" s="12" t="str">
        <x:v>Eastern Region</x:v>
      </x:c>
      <x:c r="C97" s="12" t="str">
        <x:v>Dammam</x:v>
      </x:c>
      <x:c r="D97" s="12" t="str">
        <x:v>Border Guard</x:v>
      </x:c>
      <x:c r="E97" s="12" t="str">
        <x:v>Temporary Site</x:v>
      </x:c>
      <x:c r="F97" s="12" t="str">
        <x:v>N/A</x:v>
      </x:c>
      <x:c r="G97" s="12" t="str">
        <x:v>Request for a temporary project support site near Dammam for construction support facilities during the construction period.</x:v>
      </x:c>
      <x:c r="H97" s="14" t="n">
        <x:v>21</x:v>
      </x:c>
    </x:row>
    <x:row r="98">
      <x:c r="A98" s="12" t="str">
        <x:v>CASE-097</x:v>
      </x:c>
      <x:c r="B98" s="12" t="str">
        <x:v>Madinah Region</x:v>
      </x:c>
      <x:c r="C98" s="12" t="str">
        <x:v>Yanbu</x:v>
      </x:c>
      <x:c r="D98" s="12" t="str">
        <x:v>Saudi Electricity</x:v>
      </x:c>
      <x:c r="E98" s="12" t="str">
        <x:v>Pipeline</x:v>
      </x:c>
      <x:c r="F98" s="12" t="str">
        <x:v>HDD</x:v>
      </x:c>
      <x:c r="G98" s="12" t="str">
        <x:v>Construction of a 36-inch utility pipeline crossing the existing underground cable route near Yanbu using horizontal directional drilling (HDD).</x:v>
      </x:c>
      <x:c r="H98" s="14" t="n">
        <x:v>21</x:v>
      </x:c>
    </x:row>
    <x:row r="99">
      <x:c r="A99" s="12" t="str">
        <x:v>CASE-098</x:v>
      </x:c>
      <x:c r="B99" s="12" t="str">
        <x:v>Eastern Region</x:v>
      </x:c>
      <x:c r="C99" s="12" t="str">
        <x:v>Jubail</x:v>
      </x:c>
      <x:c r="D99" s="12" t="str">
        <x:v>Ministry of Transport (MOT)</x:v>
      </x:c>
      <x:c r="E99" s="12" t="str">
        <x:v>Pipeline</x:v>
      </x:c>
      <x:c r="F99" s="12" t="str">
        <x:v>HDD</x:v>
      </x:c>
      <x:c r="G99" s="12" t="str">
        <x:v>Construction of a 42-inch gas pipeline crossing the existing main road near Jubail using horizontal directional drilling (HDD).</x:v>
      </x:c>
      <x:c r="H99" s="14" t="n">
        <x:v>81</x:v>
      </x:c>
    </x:row>
    <x:row r="100">
      <x:c r="A100" s="12" t="str">
        <x:v>CASE-099</x:v>
      </x:c>
      <x:c r="B100" s="12" t="str">
        <x:v>Riyadh Region</x:v>
      </x:c>
      <x:c r="C100" s="12" t="str">
        <x:v>Riyadh</x:v>
      </x:c>
      <x:c r="D100" s="12" t="str">
        <x:v>Ministry of Transport (MOT)</x:v>
      </x:c>
      <x:c r="E100" s="12" t="str">
        <x:v>Pipeline</x:v>
      </x:c>
      <x:c r="F100" s="12" t="str">
        <x:v>HDD</x:v>
      </x:c>
      <x:c r="G100" s="12" t="str">
        <x:v>Installation of a new 36-inch gas pipeline within the Riyadh project area, including a crossing of the highway by horizontal directional drilling (HDD).</x:v>
      </x:c>
      <x:c r="H100" s="14" t="n">
        <x:v>66</x:v>
      </x:c>
    </x:row>
    <x:row r="101">
      <x:c r="A101" s="12" t="str">
        <x:v>CASE-100</x:v>
      </x:c>
      <x:c r="B101" s="12" t="str">
        <x:v>Eastern Region</x:v>
      </x:c>
      <x:c r="C101" s="12" t="str">
        <x:v>Al Khobar</x:v>
      </x:c>
      <x:c r="D101" s="12" t="str">
        <x:v>Ministry of Transport (MOT)</x:v>
      </x:c>
      <x:c r="E101" s="12" t="str">
        <x:v>Temporary Site</x:v>
      </x:c>
      <x:c r="F101" s="12" t="str">
        <x:v>N/A</x:v>
      </x:c>
      <x:c r="G101" s="12" t="str">
        <x:v>Temporary site request adjacent to the project area in Al Khobar to accommodate equipment staging and site logistics.</x:v>
      </x:c>
      <x:c r="H101" s="14" t="n">
        <x:v>54</x:v>
      </x:c>
    </x:row>
    <x:row r="102">
      <x:c r="A102" s="12" t="str">
        <x:v>CASE-101</x:v>
      </x:c>
      <x:c r="B102" s="12" t="str">
        <x:v>Riyadh Region</x:v>
      </x:c>
      <x:c r="C102" s="12" t="str">
        <x:v>Al Majma'ah</x:v>
      </x:c>
      <x:c r="D102" s="12" t="str">
        <x:v>Ministry of Interior (MOI)</x:v>
      </x:c>
      <x:c r="E102" s="12" t="str">
        <x:v>Well Drilling</x:v>
      </x:c>
      <x:c r="F102" s="12" t="str">
        <x:v>N/A</x:v>
      </x:c>
      <x:c r="G102" s="12" t="str">
        <x:v>Drilling of 3 new observation wells within the project area near Al Majma'ah, including temporary access and site preparation.</x:v>
      </x:c>
      <x:c r="H102" s="14" t="n">
        <x:v>25</x:v>
      </x:c>
    </x:row>
    <x:row r="103">
      <x:c r="A103" s="12" t="str">
        <x:v>CASE-102</x:v>
      </x:c>
      <x:c r="B103" s="12" t="str">
        <x:v>Al Jouf Region</x:v>
      </x:c>
      <x:c r="C103" s="12" t="str">
        <x:v>Al Qurayyat</x:v>
      </x:c>
      <x:c r="D103" s="12" t="str">
        <x:v>Saudi Electricity</x:v>
      </x:c>
      <x:c r="E103" s="12" t="str">
        <x:v>Temporary Site</x:v>
      </x:c>
      <x:c r="F103" s="12" t="str">
        <x:v>N/A</x:v>
      </x:c>
      <x:c r="G103" s="12" t="str">
        <x:v>Request for a temporary project support site near Al Qurayyat for construction support facilities during the construction period.</x:v>
      </x:c>
      <x:c r="H103" s="14" t="n">
        <x:v>26</x:v>
      </x:c>
    </x:row>
    <x:row r="104">
      <x:c r="A104" s="12" t="str">
        <x:v>CASE-103</x:v>
      </x:c>
      <x:c r="B104" s="12" t="str">
        <x:v>Eastern Region</x:v>
      </x:c>
      <x:c r="C104" s="12" t="str">
        <x:v>Khafji</x:v>
      </x:c>
      <x:c r="D104" s="12" t="str">
        <x:v>Water Transmission Company (WTCO)</x:v>
      </x:c>
      <x:c r="E104" s="12" t="str">
        <x:v>Pipeline</x:v>
      </x:c>
      <x:c r="F104" s="12" t="str">
        <x:v>HDD</x:v>
      </x:c>
      <x:c r="G104" s="12" t="str">
        <x:v>Proposed 48-inch crude oil pipeline crossing at Khafji; the crossing is planned using horizontal directional drilling (HDD) across the existing water pipeline.</x:v>
      </x:c>
      <x:c r="H104" s="14" t="n">
        <x:v>11</x:v>
      </x:c>
    </x:row>
    <x:row r="105">
      <x:c r="A105" s="12" t="str">
        <x:v>CASE-104</x:v>
      </x:c>
      <x:c r="B105" s="12" t="str">
        <x:v>Riyadh Region</x:v>
      </x:c>
      <x:c r="C105" s="12" t="str">
        <x:v>Al Kharj</x:v>
      </x:c>
      <x:c r="D105" s="12" t="str">
        <x:v>Saudi Electricity</x:v>
      </x:c>
      <x:c r="E105" s="12" t="str">
        <x:v>Borrow Pit</x:v>
      </x:c>
      <x:c r="F105" s="12" t="str">
        <x:v>N/A</x:v>
      </x:c>
      <x:c r="G105" s="12" t="str">
        <x:v>Proposed borrow pit in the Al Kharj area for sourcing granular fill required for grading and backfilling activities.</x:v>
      </x:c>
      <x:c r="H105" s="14" t="n">
        <x:v>22</x:v>
      </x:c>
    </x:row>
    <x:row r="106">
      <x:c r="A106" s="12" t="str">
        <x:v>CASE-105</x:v>
      </x:c>
      <x:c r="B106" s="12" t="str">
        <x:v>Riyadh Region</x:v>
      </x:c>
      <x:c r="C106" s="12" t="str">
        <x:v>Al Kharj</x:v>
      </x:c>
      <x:c r="D106" s="12" t="str">
        <x:v>Saudi Arabia Railways (SAR)</x:v>
      </x:c>
      <x:c r="E106" s="12" t="str">
        <x:v>Culvert</x:v>
      </x:c>
      <x:c r="F106" s="12" t="str">
        <x:v>N/A</x:v>
      </x:c>
      <x:c r="G106" s="12" t="str">
        <x:v>Extension and installation of a box culvert in the Al Kharj project area, including temporary traffic and site access arrangements.</x:v>
      </x:c>
      <x:c r="H106" s="14" t="n">
        <x:v>90</x:v>
      </x:c>
    </x:row>
    <x:row r="107">
      <x:c r="A107" s="12" t="str">
        <x:v>CASE-106</x:v>
      </x:c>
      <x:c r="B107" s="12" t="str">
        <x:v>Riyadh Region</x:v>
      </x:c>
      <x:c r="C107" s="12" t="str">
        <x:v>Al Majma'ah</x:v>
      </x:c>
      <x:c r="D107" s="12" t="str">
        <x:v>Ministry of Interior (MOI)</x:v>
      </x:c>
      <x:c r="E107" s="12" t="str">
        <x:v>Pipeline</x:v>
      </x:c>
      <x:c r="F107" s="12" t="str">
        <x:v>Open Cut</x:v>
      </x:c>
      <x:c r="G107" s="12" t="str">
        <x:v>Construction of a 10-inch utility pipeline crossing the existing government facility corridor near Al Majma'ah using open-cut excavation.</x:v>
      </x:c>
      <x:c r="H107" s="14" t="n">
        <x:v>22</x:v>
      </x:c>
    </x:row>
    <x:row r="108">
      <x:c r="A108" s="12" t="str">
        <x:v>CASE-107</x:v>
      </x:c>
      <x:c r="B108" s="12" t="str">
        <x:v>Eastern Region</x:v>
      </x:c>
      <x:c r="C108" s="12" t="str">
        <x:v>Abqaiq</x:v>
      </x:c>
      <x:c r="D108" s="12" t="str">
        <x:v>Saudi Electricity</x:v>
      </x:c>
      <x:c r="E108" s="12" t="str">
        <x:v>Pipeline</x:v>
      </x:c>
      <x:c r="F108" s="12" t="str">
        <x:v>Open Cut</x:v>
      </x:c>
      <x:c r="G108" s="12" t="str">
        <x:v>Proposed 30-inch crude oil pipeline crossing at Abqaiq; the crossing is planned using open-cut excavation across the underground cable route.</x:v>
      </x:c>
      <x:c r="H108" s="14" t="n">
        <x:v>27</x:v>
      </x:c>
    </x:row>
    <x:row r="109">
      <x:c r="A109" s="12" t="str">
        <x:v>CASE-108</x:v>
      </x:c>
      <x:c r="B109" s="12" t="str">
        <x:v>Eastern Region</x:v>
      </x:c>
      <x:c r="C109" s="12" t="str">
        <x:v>Jubail</x:v>
      </x:c>
      <x:c r="D109" s="12" t="str">
        <x:v>Ministry of Transport (MOT)</x:v>
      </x:c>
      <x:c r="E109" s="12" t="str">
        <x:v>Temporary Site</x:v>
      </x:c>
      <x:c r="F109" s="12" t="str">
        <x:v>N/A</x:v>
      </x:c>
      <x:c r="G109" s="12" t="str">
        <x:v>Establishment of a temporary construction support area in Jubail for material storage associated with the ongoing project.</x:v>
      </x:c>
      <x:c r="H109" s="14" t="n">
        <x:v>43</x:v>
      </x:c>
    </x:row>
    <x:row r="110">
      <x:c r="A110" s="12" t="str">
        <x:v>CASE-109</x:v>
      </x:c>
      <x:c r="B110" s="12" t="str">
        <x:v>Makkah Region</x:v>
      </x:c>
      <x:c r="C110" s="12" t="str">
        <x:v>Taif</x:v>
      </x:c>
      <x:c r="D110" s="12" t="str">
        <x:v>National Water Company (NWC)</x:v>
      </x:c>
      <x:c r="E110" s="12" t="str">
        <x:v>Borrow Pit</x:v>
      </x:c>
      <x:c r="F110" s="12" t="str">
        <x:v>N/A</x:v>
      </x:c>
      <x:c r="G110" s="12" t="str">
        <x:v>Temporary borrow pit request near Taif to support project earthworks and supply granular fill.</x:v>
      </x:c>
      <x:c r="H110" s="14" t="n">
        <x:v>21</x:v>
      </x:c>
    </x:row>
    <x:row r="111">
      <x:c r="A111" s="12" t="str">
        <x:v>CASE-110</x:v>
      </x:c>
      <x:c r="B111" s="12" t="str">
        <x:v>Madinah Region</x:v>
      </x:c>
      <x:c r="C111" s="12" t="str">
        <x:v>Madinah</x:v>
      </x:c>
      <x:c r="D111" s="12" t="str">
        <x:v>Ministry of Interior (MOI)</x:v>
      </x:c>
      <x:c r="E111" s="12" t="str">
        <x:v>Pipeline</x:v>
      </x:c>
      <x:c r="F111" s="12" t="str">
        <x:v>HDD</x:v>
      </x:c>
      <x:c r="G111" s="12" t="str">
        <x:v>Construction of a 30-inch process water pipeline crossing the existing security facility access road near Madinah using horizontal directional drilling (HDD).</x:v>
      </x:c>
      <x:c r="H111" s="14" t="n">
        <x:v>28</x:v>
      </x:c>
    </x:row>
    <x:row r="112">
      <x:c r="A112" s="12" t="str">
        <x:v>CASE-111</x:v>
      </x:c>
      <x:c r="B112" s="12" t="str">
        <x:v>Riyadh Region</x:v>
      </x:c>
      <x:c r="C112" s="12" t="str">
        <x:v>Al Kharj</x:v>
      </x:c>
      <x:c r="D112" s="12" t="str">
        <x:v>Saudi Arabia Railways (SAR)</x:v>
      </x:c>
      <x:c r="E112" s="12" t="str">
        <x:v>Pipeline</x:v>
      </x:c>
      <x:c r="F112" s="12" t="str">
        <x:v>HDD</x:v>
      </x:c>
      <x:c r="G112" s="12" t="str">
        <x:v>Proposed 18-inch water pipeline crossing at Al Kharj; the crossing is planned using horizontal directional drilling (HDD) across the railway track.</x:v>
      </x:c>
      <x:c r="H112" s="14" t="n">
        <x:v>70</x:v>
      </x:c>
    </x:row>
    <x:row r="113">
      <x:c r="A113" s="12" t="str">
        <x:v>CASE-112</x:v>
      </x:c>
      <x:c r="B113" s="12" t="str">
        <x:v>Makkah Region</x:v>
      </x:c>
      <x:c r="C113" s="12" t="str">
        <x:v>Jeddah</x:v>
      </x:c>
      <x:c r="D113" s="12" t="str">
        <x:v>National Guard</x:v>
      </x:c>
      <x:c r="E113" s="12" t="str">
        <x:v>Culvert</x:v>
      </x:c>
      <x:c r="F113" s="12" t="str">
        <x:v>N/A</x:v>
      </x:c>
      <x:c r="G113" s="12" t="str">
        <x:v>Proposed box culvert crossing near Jeddah as part of drainage and infrastructure improvement works.</x:v>
      </x:c>
      <x:c r="H113" s="14" t="n">
        <x:v>42</x:v>
      </x:c>
    </x:row>
    <x:row r="114">
      <x:c r="A114" s="12" t="str">
        <x:v>CASE-113</x:v>
      </x:c>
      <x:c r="B114" s="12" t="str">
        <x:v>Eastern Region</x:v>
      </x:c>
      <x:c r="C114" s="12" t="str">
        <x:v>Dammam</x:v>
      </x:c>
      <x:c r="D114" s="12" t="str">
        <x:v>Ministry of Defense (MOD)</x:v>
      </x:c>
      <x:c r="E114" s="12" t="str">
        <x:v>Pipeline</x:v>
      </x:c>
      <x:c r="F114" s="12" t="str">
        <x:v>Open Cut</x:v>
      </x:c>
      <x:c r="G114" s="12" t="str">
        <x:v>Proposed 6-inch process water pipeline crossing at Dammam; the crossing is planned using open-cut excavation across the government facility corridor.</x:v>
      </x:c>
      <x:c r="H114" s="14" t="n">
        <x:v>57</x:v>
      </x:c>
    </x:row>
    <x:row r="115">
      <x:c r="A115" s="12" t="str">
        <x:v>CASE-114</x:v>
      </x:c>
      <x:c r="B115" s="12" t="str">
        <x:v>Riyadh Region</x:v>
      </x:c>
      <x:c r="C115" s="12" t="str">
        <x:v>Al Kharj</x:v>
      </x:c>
      <x:c r="D115" s="12" t="str">
        <x:v>Ministry of Interior (MOI)</x:v>
      </x:c>
      <x:c r="E115" s="12" t="str">
        <x:v>Temporary Site</x:v>
      </x:c>
      <x:c r="F115" s="12" t="str">
        <x:v>N/A</x:v>
      </x:c>
      <x:c r="G115" s="12" t="str">
        <x:v>Temporary site request adjacent to the project area in Al Kharj to accommodate equipment staging and site logistics.</x:v>
      </x:c>
      <x:c r="H115" s="14" t="n">
        <x:v>22</x:v>
      </x:c>
    </x:row>
    <x:row r="116">
      <x:c r="A116" s="12" t="str">
        <x:v>CASE-115</x:v>
      </x:c>
      <x:c r="B116" s="12" t="str">
        <x:v>Eastern Region</x:v>
      </x:c>
      <x:c r="C116" s="12" t="str">
        <x:v>Abqaiq</x:v>
      </x:c>
      <x:c r="D116" s="12" t="str">
        <x:v>Ministry of Interior (MOI)</x:v>
      </x:c>
      <x:c r="E116" s="12" t="str">
        <x:v>Pipeline</x:v>
      </x:c>
      <x:c r="F116" s="12" t="str">
        <x:v>HDD</x:v>
      </x:c>
      <x:c r="G116" s="12" t="str">
        <x:v>Installation of a new 10-inch process water pipeline within the Abqaiq project area, including a crossing of the government facility corridor by horizontal directional drilling (HDD).</x:v>
      </x:c>
      <x:c r="H116" s="14" t="n">
        <x:v>29</x:v>
      </x:c>
    </x:row>
    <x:row r="117">
      <x:c r="A117" s="12" t="str">
        <x:v>CASE-116</x:v>
      </x:c>
      <x:c r="B117" s="12" t="str">
        <x:v>Madinah Region</x:v>
      </x:c>
      <x:c r="C117" s="12" t="str">
        <x:v>Yanbu</x:v>
      </x:c>
      <x:c r="D117" s="12" t="str">
        <x:v>Ministry of Transport (MOT)</x:v>
      </x:c>
      <x:c r="E117" s="12" t="str">
        <x:v>Culvert</x:v>
      </x:c>
      <x:c r="F117" s="12" t="str">
        <x:v>N/A</x:v>
      </x:c>
      <x:c r="G117" s="12" t="str">
        <x:v>Extension and installation of a box culvert in the Yanbu project area, including temporary traffic and site access arrangements.</x:v>
      </x:c>
      <x:c r="H117" s="14" t="n">
        <x:v>76</x:v>
      </x:c>
    </x:row>
    <x:row r="118">
      <x:c r="A118" s="12" t="str">
        <x:v>CASE-117</x:v>
      </x:c>
      <x:c r="B118" s="12" t="str">
        <x:v>Eastern Region</x:v>
      </x:c>
      <x:c r="C118" s="12" t="str">
        <x:v>Al Ahsa</x:v>
      </x:c>
      <x:c r="D118" s="12" t="str">
        <x:v>Border Guard</x:v>
      </x:c>
      <x:c r="E118" s="12" t="str">
        <x:v>Pipeline</x:v>
      </x:c>
      <x:c r="F118" s="12" t="str">
        <x:v>Open Cut</x:v>
      </x:c>
      <x:c r="G118" s="12" t="str">
        <x:v>Construction of a 10-inch water pipeline crossing the existing government facility corridor near Al Ahsa using open-cut excavation.</x:v>
      </x:c>
      <x:c r="H118" s="14" t="n">
        <x:v>25</x:v>
      </x:c>
    </x:row>
    <x:row r="119">
      <x:c r="A119" s="12" t="str">
        <x:v>CASE-118</x:v>
      </x:c>
      <x:c r="B119" s="12" t="str">
        <x:v>Asir Region</x:v>
      </x:c>
      <x:c r="C119" s="12" t="str">
        <x:v>Khamis Mushait</x:v>
      </x:c>
      <x:c r="D119" s="12" t="str">
        <x:v>Ministry of Transport (MOT)</x:v>
      </x:c>
      <x:c r="E119" s="12" t="str">
        <x:v>Culvert</x:v>
      </x:c>
      <x:c r="F119" s="12" t="str">
        <x:v>N/A</x:v>
      </x:c>
      <x:c r="G119" s="12" t="str">
        <x:v>Proposed double-cell culvert crossing near Khamis Mushait as part of drainage and infrastructure improvement works.</x:v>
      </x:c>
      <x:c r="H119" s="14" t="n">
        <x:v>52</x:v>
      </x:c>
    </x:row>
    <x:row r="120">
      <x:c r="A120" s="12" t="str">
        <x:v>CASE-119</x:v>
      </x:c>
      <x:c r="B120" s="12" t="str">
        <x:v>Northern Borders Region</x:v>
      </x:c>
      <x:c r="C120" s="12" t="str">
        <x:v>Rafha</x:v>
      </x:c>
      <x:c r="D120" s="12" t="str">
        <x:v>Ministry of Transport (MOT)</x:v>
      </x:c>
      <x:c r="E120" s="12" t="str">
        <x:v>Pipeline</x:v>
      </x:c>
      <x:c r="F120" s="12" t="str">
        <x:v>Open Cut</x:v>
      </x:c>
      <x:c r="G120" s="12" t="str">
        <x:v>Construction of a 30-inch utility pipeline crossing the existing main road near Rafha using open-cut excavation.</x:v>
      </x:c>
      <x:c r="H120" s="14" t="n">
        <x:v>95</x:v>
      </x:c>
    </x:row>
    <x:row r="121">
      <x:c r="A121" s="12" t="str">
        <x:v>CASE-120</x:v>
      </x:c>
      <x:c r="B121" s="12" t="str">
        <x:v>Eastern Region</x:v>
      </x:c>
      <x:c r="C121" s="12" t="str">
        <x:v>Khafji</x:v>
      </x:c>
      <x:c r="D121" s="12" t="str">
        <x:v>Ministry of Transport (MOT)</x:v>
      </x:c>
      <x:c r="E121" s="12" t="str">
        <x:v>Borrow Pit</x:v>
      </x:c>
      <x:c r="F121" s="12" t="str">
        <x:v>N/A</x:v>
      </x:c>
      <x:c r="G121" s="12" t="str">
        <x:v>Proposed borrow pit in the Khafji area for sourcing granular fill required for grading and backfilling activities.</x:v>
      </x:c>
      <x:c r="H121" s="14" t="n">
        <x:v>81</x:v>
      </x:c>
    </x:row>
    <x:row r="122">
      <x:c r="A122" s="12" t="str">
        <x:v>CASE-121</x:v>
      </x:c>
      <x:c r="B122" s="12" t="str">
        <x:v>Makkah Region</x:v>
      </x:c>
      <x:c r="C122" s="12" t="str">
        <x:v>Jeddah</x:v>
      </x:c>
      <x:c r="D122" s="12" t="str">
        <x:v>Ministry of Interior (MOI)</x:v>
      </x:c>
      <x:c r="E122" s="12" t="str">
        <x:v>Borrow Pit</x:v>
      </x:c>
      <x:c r="F122" s="12" t="str">
        <x:v>N/A</x:v>
      </x:c>
      <x:c r="G122" s="12" t="str">
        <x:v>Proposed borrow pit in the Jeddah area for sourcing granular fill required for grading and backfilling activities.</x:v>
      </x:c>
      <x:c r="H122" s="14" t="n">
        <x:v>25</x:v>
      </x:c>
    </x:row>
    <x:row r="123">
      <x:c r="A123" s="12" t="str">
        <x:v>CASE-122</x:v>
      </x:c>
      <x:c r="B123" s="12" t="str">
        <x:v>Eastern Region</x:v>
      </x:c>
      <x:c r="C123" s="12" t="str">
        <x:v>Abqaiq</x:v>
      </x:c>
      <x:c r="D123" s="12" t="str">
        <x:v>Ministry of Transport (MOT)</x:v>
      </x:c>
      <x:c r="E123" s="12" t="str">
        <x:v>Pipeline</x:v>
      </x:c>
      <x:c r="F123" s="12" t="str">
        <x:v>HDD</x:v>
      </x:c>
      <x:c r="G123" s="12" t="str">
        <x:v>Installation of a new 16-inch utility pipeline within the Abqaiq project area, including a crossing of the highway by horizontal directional drilling (HDD).</x:v>
      </x:c>
      <x:c r="H123" s="14" t="n">
        <x:v>42</x:v>
      </x:c>
    </x:row>
    <x:row r="124">
      <x:c r="A124" s="12" t="str">
        <x:v>CASE-123</x:v>
      </x:c>
      <x:c r="B124" s="12" t="str">
        <x:v>Riyadh Region</x:v>
      </x:c>
      <x:c r="C124" s="12" t="str">
        <x:v>Al Majma'ah</x:v>
      </x:c>
      <x:c r="D124" s="12" t="str">
        <x:v>Saudi Arabia Railways (SAR)</x:v>
      </x:c>
      <x:c r="E124" s="12" t="str">
        <x:v>Pipeline</x:v>
      </x:c>
      <x:c r="F124" s="12" t="str">
        <x:v>Open Cut</x:v>
      </x:c>
      <x:c r="G124" s="12" t="str">
        <x:v>Installation of a new 8-inch utility pipeline within the Al Majma'ah project area, including a crossing of the railway corridor by open-cut excavation.</x:v>
      </x:c>
      <x:c r="H124" s="14" t="n">
        <x:v>75</x:v>
      </x:c>
    </x:row>
    <x:row r="125">
      <x:c r="A125" s="12" t="str">
        <x:v>CASE-124</x:v>
      </x:c>
      <x:c r="B125" s="12" t="str">
        <x:v>Eastern Region</x:v>
      </x:c>
      <x:c r="C125" s="12" t="str">
        <x:v>Khafji</x:v>
      </x:c>
      <x:c r="D125" s="12" t="str">
        <x:v>National Guard</x:v>
      </x:c>
      <x:c r="E125" s="12" t="str">
        <x:v>Culvert</x:v>
      </x:c>
      <x:c r="F125" s="12" t="str">
        <x:v>N/A</x:v>
      </x:c>
      <x:c r="G125" s="12" t="str">
        <x:v>Proposed double-cell culvert crossing near Khafji as part of drainage and infrastructure improvement works.</x:v>
      </x:c>
      <x:c r="H125" s="14" t="n">
        <x:v>52</x:v>
      </x:c>
    </x:row>
    <x:row r="126">
      <x:c r="A126" s="12" t="str">
        <x:v>CASE-125</x:v>
      </x:c>
      <x:c r="B126" s="12" t="str">
        <x:v>Eastern Region</x:v>
      </x:c>
      <x:c r="C126" s="12" t="str">
        <x:v>Dhahran</x:v>
      </x:c>
      <x:c r="D126" s="12" t="str">
        <x:v>Border Guard</x:v>
      </x:c>
      <x:c r="E126" s="12" t="str">
        <x:v>Culvert</x:v>
      </x:c>
      <x:c r="F126" s="12" t="str">
        <x:v>N/A</x:v>
      </x:c>
      <x:c r="G126" s="12" t="str">
        <x:v>Construction of a reinforced concrete culvert near Dhahran to support drainage works adjacent to the security facility access road.</x:v>
      </x:c>
      <x:c r="H126" s="14" t="n">
        <x:v>18</x:v>
      </x:c>
    </x:row>
    <x:row r="127">
      <x:c r="A127" s="12" t="str">
        <x:v>CASE-126</x:v>
      </x:c>
      <x:c r="B127" s="12" t="str">
        <x:v>Eastern Region</x:v>
      </x:c>
      <x:c r="C127" s="12" t="str">
        <x:v>Dammam</x:v>
      </x:c>
      <x:c r="D127" s="12" t="str">
        <x:v>Ministry of Transport (MOT)</x:v>
      </x:c>
      <x:c r="E127" s="12" t="str">
        <x:v>Pipeline</x:v>
      </x:c>
      <x:c r="F127" s="12" t="str">
        <x:v>Open Cut</x:v>
      </x:c>
      <x:c r="G127" s="12" t="str">
        <x:v>Installation of a new 30-inch crude oil pipeline within the Dammam project area, including a crossing of the main road by open-cut excavation.</x:v>
      </x:c>
      <x:c r="H127" s="14" t="n">
        <x:v>37</x:v>
      </x:c>
    </x:row>
    <x:row r="128">
      <x:c r="A128" s="12" t="str">
        <x:v>CASE-127</x:v>
      </x:c>
      <x:c r="B128" s="12" t="str">
        <x:v>Madinah Region</x:v>
      </x:c>
      <x:c r="C128" s="12" t="str">
        <x:v>Madinah</x:v>
      </x:c>
      <x:c r="D128" s="12" t="str">
        <x:v>Ministry of Transport (MOT)</x:v>
      </x:c>
      <x:c r="E128" s="12" t="str">
        <x:v>Pipeline</x:v>
      </x:c>
      <x:c r="F128" s="12" t="str">
        <x:v>HDD</x:v>
      </x:c>
      <x:c r="G128" s="12" t="str">
        <x:v>Proposed 12-inch gas pipeline crossing at Madinah; the crossing is planned using horizontal directional drilling (HDD) across the service road.</x:v>
      </x:c>
      <x:c r="H128" s="14" t="n">
        <x:v>62</x:v>
      </x:c>
    </x:row>
    <x:row r="129">
      <x:c r="A129" s="12" t="str">
        <x:v>CASE-128</x:v>
      </x:c>
      <x:c r="B129" s="12" t="str">
        <x:v>Eastern Region</x:v>
      </x:c>
      <x:c r="C129" s="12" t="str">
        <x:v>Ras Tanura</x:v>
      </x:c>
      <x:c r="D129" s="12" t="str">
        <x:v>Border Guard</x:v>
      </x:c>
      <x:c r="E129" s="12" t="str">
        <x:v>Borrow Pit</x:v>
      </x:c>
      <x:c r="F129" s="12" t="str">
        <x:v>N/A</x:v>
      </x:c>
      <x:c r="G129" s="12" t="str">
        <x:v>Temporary borrow pit request near Ras Tanura to support project earthworks and supply granular fill.</x:v>
      </x:c>
      <x:c r="H129" s="14" t="n">
        <x:v>26</x:v>
      </x:c>
    </x:row>
    <x:row r="130">
      <x:c r="A130" s="12" t="str">
        <x:v>CASE-129</x:v>
      </x:c>
      <x:c r="B130" s="12" t="str">
        <x:v>Madinah Region</x:v>
      </x:c>
      <x:c r="C130" s="12" t="str">
        <x:v>Yanbu</x:v>
      </x:c>
      <x:c r="D130" s="12" t="str">
        <x:v>Water Transmission Company (WTCO)</x:v>
      </x:c>
      <x:c r="E130" s="12" t="str">
        <x:v>Pipeline</x:v>
      </x:c>
      <x:c r="F130" s="12" t="str">
        <x:v>HDD</x:v>
      </x:c>
      <x:c r="G130" s="12" t="str">
        <x:v>Installation of a new 18-inch process water pipeline within the Yanbu project area, including a crossing of the existing water pipeline by horizontal directional drilling (HDD).</x:v>
      </x:c>
      <x:c r="H130" s="14" t="n">
        <x:v>15</x:v>
      </x:c>
    </x:row>
    <x:row r="131">
      <x:c r="A131" s="12" t="str">
        <x:v>CASE-130</x:v>
      </x:c>
      <x:c r="B131" s="12" t="str">
        <x:v>Riyadh Region</x:v>
      </x:c>
      <x:c r="C131" s="12" t="str">
        <x:v>Al Kharj</x:v>
      </x:c>
      <x:c r="D131" s="12" t="str">
        <x:v>Ministry of Interior (MOI)</x:v>
      </x:c>
      <x:c r="E131" s="12" t="str">
        <x:v>Culvert</x:v>
      </x:c>
      <x:c r="F131" s="12" t="str">
        <x:v>N/A</x:v>
      </x:c>
      <x:c r="G131" s="12" t="str">
        <x:v>Extension and installation of a single-cell culvert in the Al Kharj project area, including temporary traffic and site access arrangements.</x:v>
      </x:c>
      <x:c r="H131" s="14" t="n">
        <x:v>25</x:v>
      </x:c>
    </x:row>
    <x:row r="132">
      <x:c r="A132" s="12" t="str">
        <x:v>CASE-131</x:v>
      </x:c>
      <x:c r="B132" s="12" t="str">
        <x:v>Eastern Region</x:v>
      </x:c>
      <x:c r="C132" s="12" t="str">
        <x:v>Dhahran</x:v>
      </x:c>
      <x:c r="D132" s="12" t="str">
        <x:v>National Water Company (NWC)</x:v>
      </x:c>
      <x:c r="E132" s="12" t="str">
        <x:v>Pipeline</x:v>
      </x:c>
      <x:c r="F132" s="12" t="str">
        <x:v>HDD</x:v>
      </x:c>
      <x:c r="G132" s="12" t="str">
        <x:v>Installation of a new 24-inch crude oil pipeline within the Dhahran project area, including a crossing of the water transmission line by horizontal directional drilling (HDD).</x:v>
      </x:c>
      <x:c r="H132" s="14" t="n">
        <x:v>24</x:v>
      </x:c>
    </x:row>
    <x:row r="133">
      <x:c r="A133" s="12" t="str">
        <x:v>CASE-132</x:v>
      </x:c>
      <x:c r="B133" s="12" t="str">
        <x:v>Eastern Region</x:v>
      </x:c>
      <x:c r="C133" s="12" t="str">
        <x:v>Dammam</x:v>
      </x:c>
      <x:c r="D133" s="12" t="str">
        <x:v>Ministry of Transport (MOT)</x:v>
      </x:c>
      <x:c r="E133" s="12" t="str">
        <x:v>Pipeline</x:v>
      </x:c>
      <x:c r="F133" s="12" t="str">
        <x:v>Open Cut</x:v>
      </x:c>
      <x:c r="G133" s="12" t="str">
        <x:v>Construction of a 8-inch process water pipeline crossing the existing service road near Dammam using open-cut excavation.</x:v>
      </x:c>
      <x:c r="H133" s="14" t="n">
        <x:v>45</x:v>
      </x:c>
    </x:row>
    <x:row r="134">
      <x:c r="A134" s="12" t="str">
        <x:v>CASE-133</x:v>
      </x:c>
      <x:c r="B134" s="12" t="str">
        <x:v>Eastern Region</x:v>
      </x:c>
      <x:c r="C134" s="12" t="str">
        <x:v>Khafji</x:v>
      </x:c>
      <x:c r="D134" s="12" t="str">
        <x:v>Ministry of Interior (MOI)</x:v>
      </x:c>
      <x:c r="E134" s="12" t="str">
        <x:v>Pipeline</x:v>
      </x:c>
      <x:c r="F134" s="12" t="str">
        <x:v>Open Cut</x:v>
      </x:c>
      <x:c r="G134" s="12" t="str">
        <x:v>Construction of a 8-inch gas pipeline crossing the existing controlled area boundary near Khafji using open-cut excavation.</x:v>
      </x:c>
      <x:c r="H134" s="14" t="n">
        <x:v>25</x:v>
      </x:c>
    </x:row>
    <x:row r="135">
      <x:c r="A135" s="12" t="str">
        <x:v>CASE-134</x:v>
      </x:c>
      <x:c r="B135" s="12" t="str">
        <x:v>Eastern Region</x:v>
      </x:c>
      <x:c r="C135" s="12" t="str">
        <x:v>Abqaiq</x:v>
      </x:c>
      <x:c r="D135" s="12" t="str">
        <x:v>Water Transmission Company (WTCO)</x:v>
      </x:c>
      <x:c r="E135" s="12" t="str">
        <x:v>Well Drilling</x:v>
      </x:c>
      <x:c r="F135" s="12" t="str">
        <x:v>N/A</x:v>
      </x:c>
      <x:c r="G135" s="12" t="str">
        <x:v>Construction activity for 5 monitoring wells in the Abqaiq project area with associated site preparation.</x:v>
      </x:c>
      <x:c r="H135" s="14" t="n">
        <x:v>18</x:v>
      </x:c>
    </x:row>
    <x:row r="136">
      <x:c r="A136" s="12" t="str">
        <x:v>CASE-135</x:v>
      </x:c>
      <x:c r="B136" s="12" t="str">
        <x:v>Eastern Region</x:v>
      </x:c>
      <x:c r="C136" s="12" t="str">
        <x:v>Al Khobar</x:v>
      </x:c>
      <x:c r="D136" s="12" t="str">
        <x:v>Ministry of Transport (MOT)</x:v>
      </x:c>
      <x:c r="E136" s="12" t="str">
        <x:v>Borrow Pit</x:v>
      </x:c>
      <x:c r="F136" s="12" t="str">
        <x:v>N/A</x:v>
      </x:c>
      <x:c r="G136" s="12" t="str">
        <x:v>Proposed borrow pit in the Al Khobar area for sourcing approved fill material required for grading and backfilling activities.</x:v>
      </x:c>
      <x:c r="H136" s="14" t="n">
        <x:v>47</x:v>
      </x:c>
    </x:row>
    <x:row r="137">
      <x:c r="A137" s="12" t="str">
        <x:v>CASE-136</x:v>
      </x:c>
      <x:c r="B137" s="12" t="str">
        <x:v>Qassim Region</x:v>
      </x:c>
      <x:c r="C137" s="12" t="str">
        <x:v>Buraydah</x:v>
      </x:c>
      <x:c r="D137" s="12" t="str">
        <x:v>Saudi Electricity</x:v>
      </x:c>
      <x:c r="E137" s="12" t="str">
        <x:v>Well Drilling</x:v>
      </x:c>
      <x:c r="F137" s="12" t="str">
        <x:v>N/A</x:v>
      </x:c>
      <x:c r="G137" s="12" t="str">
        <x:v>Drilling of 4 new monitoring wells within the project area near Buraydah, including temporary access and site preparation.</x:v>
      </x:c>
      <x:c r="H137" s="14" t="n">
        <x:v>24</x:v>
      </x:c>
    </x:row>
    <x:row r="138">
      <x:c r="A138" s="12" t="str">
        <x:v>CASE-137</x:v>
      </x:c>
      <x:c r="B138" s="12" t="str">
        <x:v>Makkah Region</x:v>
      </x:c>
      <x:c r="C138" s="12" t="str">
        <x:v>Taif</x:v>
      </x:c>
      <x:c r="D138" s="12" t="str">
        <x:v>National Water Company (NWC)</x:v>
      </x:c>
      <x:c r="E138" s="12" t="str">
        <x:v>Pipeline</x:v>
      </x:c>
      <x:c r="F138" s="12" t="str">
        <x:v>HDD</x:v>
      </x:c>
      <x:c r="G138" s="12" t="str">
        <x:v>Proposed 24-inch water pipeline crossing at Taif; the crossing is planned using horizontal directional drilling (HDD) across the water transmission line.</x:v>
      </x:c>
      <x:c r="H138" s="14" t="n">
        <x:v>22</x:v>
      </x:c>
    </x:row>
    <x:row r="139">
      <x:c r="A139" s="12" t="str">
        <x:v>CASE-138</x:v>
      </x:c>
      <x:c r="B139" s="12" t="str">
        <x:v>Eastern Region</x:v>
      </x:c>
      <x:c r="C139" s="12" t="str">
        <x:v>Dhahran</x:v>
      </x:c>
      <x:c r="D139" s="12" t="str">
        <x:v>Ministry of Transport (MOT)</x:v>
      </x:c>
      <x:c r="E139" s="12" t="str">
        <x:v>Temporary Site</x:v>
      </x:c>
      <x:c r="F139" s="12" t="str">
        <x:v>N/A</x:v>
      </x:c>
      <x:c r="G139" s="12" t="str">
        <x:v>Establishment of a temporary construction support area in Dhahran for material storage associated with the ongoing project.</x:v>
      </x:c>
      <x:c r="H139" s="14" t="n">
        <x:v>24</x:v>
      </x:c>
    </x:row>
    <x:row r="140">
      <x:c r="A140" s="12" t="str">
        <x:v>CASE-139</x:v>
      </x:c>
      <x:c r="B140" s="12" t="str">
        <x:v>Northern Borders Region</x:v>
      </x:c>
      <x:c r="C140" s="12" t="str">
        <x:v>Rafha</x:v>
      </x:c>
      <x:c r="D140" s="12" t="str">
        <x:v>Water Transmission Company (WTCO)</x:v>
      </x:c>
      <x:c r="E140" s="12" t="str">
        <x:v>Pipeline</x:v>
      </x:c>
      <x:c r="F140" s="12" t="str">
        <x:v>HDD</x:v>
      </x:c>
      <x:c r="G140" s="12" t="str">
        <x:v>Installation of a new 10-inch water pipeline within the Rafha project area, including a crossing of the water transmission line by horizontal directional drilling (HDD).</x:v>
      </x:c>
      <x:c r="H140" s="14" t="n">
        <x:v>18</x:v>
      </x:c>
    </x:row>
    <x:row r="141">
      <x:c r="A141" s="12" t="str">
        <x:v>CASE-140</x:v>
      </x:c>
      <x:c r="B141" s="12" t="str">
        <x:v>Qassim Region</x:v>
      </x:c>
      <x:c r="C141" s="12" t="str">
        <x:v>Buraydah</x:v>
      </x:c>
      <x:c r="D141" s="12" t="str">
        <x:v>Ministry of Transport (MOT)</x:v>
      </x:c>
      <x:c r="E141" s="12" t="str">
        <x:v>Culvert</x:v>
      </x:c>
      <x:c r="F141" s="12" t="str">
        <x:v>N/A</x:v>
      </x:c>
      <x:c r="G141" s="12" t="str">
        <x:v>Construction of a single-cell culvert near Buraydah to support drainage works adjacent to the service road.</x:v>
      </x:c>
      <x:c r="H141" s="14" t="n">
        <x:v>64</x:v>
      </x:c>
    </x:row>
    <x:row r="142">
      <x:c r="A142" s="12" t="str">
        <x:v>CASE-141</x:v>
      </x:c>
      <x:c r="B142" s="12" t="str">
        <x:v>Riyadh Region</x:v>
      </x:c>
      <x:c r="C142" s="12" t="str">
        <x:v>Al Majma'ah</x:v>
      </x:c>
      <x:c r="D142" s="12" t="str">
        <x:v>Saudi Arabia Railways (SAR)</x:v>
      </x:c>
      <x:c r="E142" s="12" t="str">
        <x:v>Pipeline</x:v>
      </x:c>
      <x:c r="F142" s="12" t="str">
        <x:v>HDD</x:v>
      </x:c>
      <x:c r="G142" s="12" t="str">
        <x:v>Installation of a new 12-inch crude oil pipeline within the Al Majma'ah project area, including a crossing of the railway track by horizontal directional drilling (HDD).</x:v>
      </x:c>
      <x:c r="H142" s="14" t="n">
        <x:v>89</x:v>
      </x:c>
    </x:row>
    <x:row r="143">
      <x:c r="A143" s="12" t="str">
        <x:v>CASE-142</x:v>
      </x:c>
      <x:c r="B143" s="12" t="str">
        <x:v>Eastern Region</x:v>
      </x:c>
      <x:c r="C143" s="12" t="str">
        <x:v>Dammam</x:v>
      </x:c>
      <x:c r="D143" s="12" t="str">
        <x:v>Saudi Electricity</x:v>
      </x:c>
      <x:c r="E143" s="12" t="str">
        <x:v>Well Drilling</x:v>
      </x:c>
      <x:c r="F143" s="12" t="str">
        <x:v>N/A</x:v>
      </x:c>
      <x:c r="G143" s="12" t="str">
        <x:v>Construction activity for 3 water wells in the Dammam project area with associated site preparation.</x:v>
      </x:c>
      <x:c r="H143" s="14" t="n">
        <x:v>26</x:v>
      </x:c>
    </x:row>
    <x:row r="144">
      <x:c r="A144" s="12" t="str">
        <x:v>CASE-143</x:v>
      </x:c>
      <x:c r="B144" s="12" t="str">
        <x:v>Qassim Region</x:v>
      </x:c>
      <x:c r="C144" s="12" t="str">
        <x:v>Buraydah</x:v>
      </x:c>
      <x:c r="D144" s="12" t="str">
        <x:v>Ministry of Transport (MOT)</x:v>
      </x:c>
      <x:c r="E144" s="12" t="str">
        <x:v>Pipeline</x:v>
      </x:c>
      <x:c r="F144" s="12" t="str">
        <x:v>HDD</x:v>
      </x:c>
      <x:c r="G144" s="12" t="str">
        <x:v>Proposed 16-inch process water pipeline crossing at Buraydah; the crossing is planned using horizontal directional drilling (HDD) across the access road.</x:v>
      </x:c>
      <x:c r="H144" s="14" t="n">
        <x:v>65</x:v>
      </x:c>
    </x:row>
    <x:row r="145">
      <x:c r="A145" s="12" t="str">
        <x:v>CASE-144</x:v>
      </x:c>
      <x:c r="B145" s="12" t="str">
        <x:v>Northern Borders Region</x:v>
      </x:c>
      <x:c r="C145" s="12" t="str">
        <x:v>Turaif</x:v>
      </x:c>
      <x:c r="D145" s="12" t="str">
        <x:v>Saudi Electricity</x:v>
      </x:c>
      <x:c r="E145" s="12" t="str">
        <x:v>Temporary Site</x:v>
      </x:c>
      <x:c r="F145" s="12" t="str">
        <x:v>N/A</x:v>
      </x:c>
      <x:c r="G145" s="12" t="str">
        <x:v>Request for a temporary project support site near Turaif for material storage during the construction period.</x:v>
      </x:c>
      <x:c r="H145" s="14" t="n">
        <x:v>22</x:v>
      </x:c>
    </x:row>
    <x:row r="146">
      <x:c r="A146" s="12" t="str">
        <x:v>CASE-145</x:v>
      </x:c>
      <x:c r="B146" s="12" t="str">
        <x:v>Jazan Region</x:v>
      </x:c>
      <x:c r="C146" s="12" t="str">
        <x:v>Jazan</x:v>
      </x:c>
      <x:c r="D146" s="12" t="str">
        <x:v>Water Transmission Company (WTCO)</x:v>
      </x:c>
      <x:c r="E146" s="12" t="str">
        <x:v>Temporary Site</x:v>
      </x:c>
      <x:c r="F146" s="12" t="str">
        <x:v>N/A</x:v>
      </x:c>
      <x:c r="G146" s="12" t="str">
        <x:v>Temporary site request adjacent to the project area in Jazan to accommodate construction support facilities and site logistics.</x:v>
      </x:c>
      <x:c r="H146" s="14" t="n">
        <x:v>10</x:v>
      </x:c>
    </x:row>
    <x:row r="147">
      <x:c r="A147" s="12" t="str">
        <x:v>CASE-146</x:v>
      </x:c>
      <x:c r="B147" s="12" t="str">
        <x:v>Jazan Region</x:v>
      </x:c>
      <x:c r="C147" s="12" t="str">
        <x:v>Jazan</x:v>
      </x:c>
      <x:c r="D147" s="12" t="str">
        <x:v>Water Transmission Company (WTCO)</x:v>
      </x:c>
      <x:c r="E147" s="12" t="str">
        <x:v>Well Drilling</x:v>
      </x:c>
      <x:c r="F147" s="12" t="str">
        <x:v>N/A</x:v>
      </x:c>
      <x:c r="G147" s="12" t="str">
        <x:v>Proposed water well drilling works near Jazan, including drilling pad preparation and temporary access.</x:v>
      </x:c>
      <x:c r="H147" s="14" t="n">
        <x:v>20</x:v>
      </x:c>
    </x:row>
    <x:row r="148">
      <x:c r="A148" s="12" t="str">
        <x:v>CASE-147</x:v>
      </x:c>
      <x:c r="B148" s="12" t="str">
        <x:v>Madinah Region</x:v>
      </x:c>
      <x:c r="C148" s="12" t="str">
        <x:v>Madinah</x:v>
      </x:c>
      <x:c r="D148" s="12" t="str">
        <x:v>Ministry of Interior (MOI)</x:v>
      </x:c>
      <x:c r="E148" s="12" t="str">
        <x:v>Culvert</x:v>
      </x:c>
      <x:c r="F148" s="12" t="str">
        <x:v>N/A</x:v>
      </x:c>
      <x:c r="G148" s="12" t="str">
        <x:v>Construction of a reinforced concrete culvert near Madinah to support drainage works adjacent to the restricted access route.</x:v>
      </x:c>
      <x:c r="H148" s="14" t="n">
        <x:v>21</x:v>
      </x:c>
    </x:row>
    <x:row r="149">
      <x:c r="A149" s="12" t="str">
        <x:v>CASE-148</x:v>
      </x:c>
      <x:c r="B149" s="12" t="str">
        <x:v>Asir Region</x:v>
      </x:c>
      <x:c r="C149" s="12" t="str">
        <x:v>Abha</x:v>
      </x:c>
      <x:c r="D149" s="12" t="str">
        <x:v>Water Transmission Company (WTCO)</x:v>
      </x:c>
      <x:c r="E149" s="12" t="str">
        <x:v>Pipeline</x:v>
      </x:c>
      <x:c r="F149" s="12" t="str">
        <x:v>Open Cut</x:v>
      </x:c>
      <x:c r="G149" s="12" t="str">
        <x:v>Installation of a new 24-inch water pipeline within the Abha project area, including a crossing of the utility corridor by open-cut excavation.</x:v>
      </x:c>
      <x:c r="H149" s="14" t="n">
        <x:v>16</x:v>
      </x:c>
    </x:row>
    <x:row r="150">
      <x:c r="A150" s="12" t="str">
        <x:v>CASE-149</x:v>
      </x:c>
      <x:c r="B150" s="12" t="str">
        <x:v>Jazan Region</x:v>
      </x:c>
      <x:c r="C150" s="12" t="str">
        <x:v>Jazan</x:v>
      </x:c>
      <x:c r="D150" s="12" t="str">
        <x:v>Ministry of Defense (MOD)</x:v>
      </x:c>
      <x:c r="E150" s="12" t="str">
        <x:v>Temporary Site</x:v>
      </x:c>
      <x:c r="F150" s="12" t="str">
        <x:v>N/A</x:v>
      </x:c>
      <x:c r="G150" s="12" t="str">
        <x:v>Request for a temporary project support site near Jazan for equipment staging during the construction period.</x:v>
      </x:c>
      <x:c r="H150" s="14" t="n">
        <x:v>54</x:v>
      </x:c>
    </x:row>
    <x:row r="151">
      <x:c r="A151" s="12" t="str">
        <x:v>CASE-150</x:v>
      </x:c>
      <x:c r="B151" s="12" t="str">
        <x:v>Northern Borders Region</x:v>
      </x:c>
      <x:c r="C151" s="12" t="str">
        <x:v>Rafha</x:v>
      </x:c>
      <x:c r="D151" s="12" t="str">
        <x:v>Border Guard</x:v>
      </x:c>
      <x:c r="E151" s="12" t="str">
        <x:v>Borrow Pit</x:v>
      </x:c>
      <x:c r="F151" s="12" t="str">
        <x:v>N/A</x:v>
      </x:c>
      <x:c r="G151" s="12" t="str">
        <x:v>Request to use a temporary borrow pit near Rafha to obtain construction soil for project earthworks.</x:v>
      </x:c>
      <x:c r="H151" s="14" t="n">
        <x:v>26</x:v>
      </x:c>
    </x:row>
    <x:row r="152">
      <x:c r="A152" s="12" t="str">
        <x:v>CASE-151</x:v>
      </x:c>
      <x:c r="B152" s="12" t="str">
        <x:v>Eastern Region</x:v>
      </x:c>
      <x:c r="C152" s="12" t="str">
        <x:v>Al Ahsa</x:v>
      </x:c>
      <x:c r="D152" s="12" t="str">
        <x:v>Ministry of Transport (MOT)</x:v>
      </x:c>
      <x:c r="E152" s="12" t="str">
        <x:v>Culvert</x:v>
      </x:c>
      <x:c r="F152" s="12" t="str">
        <x:v>N/A</x:v>
      </x:c>
      <x:c r="G152" s="12" t="str">
        <x:v>Extension and installation of a box culvert in the Al Ahsa project area, including temporary traffic and site access arrangements.</x:v>
      </x:c>
      <x:c r="H152" s="14" t="n">
        <x:v>45</x:v>
      </x:c>
    </x:row>
    <x:row r="153">
      <x:c r="A153" s="12" t="str">
        <x:v>CASE-152</x:v>
      </x:c>
      <x:c r="B153" s="12" t="str">
        <x:v>Eastern Region</x:v>
      </x:c>
      <x:c r="C153" s="12" t="str">
        <x:v>Abqaiq</x:v>
      </x:c>
      <x:c r="D153" s="12" t="str">
        <x:v>Saudi Arabia Railways (SAR)</x:v>
      </x:c>
      <x:c r="E153" s="12" t="str">
        <x:v>Temporary Site</x:v>
      </x:c>
      <x:c r="F153" s="12" t="str">
        <x:v>N/A</x:v>
      </x:c>
      <x:c r="G153" s="12" t="str">
        <x:v>Temporary site request adjacent to the project area in Abqaiq to accommodate equipment staging and site logistics.</x:v>
      </x:c>
      <x:c r="H153" s="14" t="n">
        <x:v>65</x:v>
      </x:c>
    </x:row>
    <x:row r="154">
      <x:c r="A154" s="12" t="str">
        <x:v>CASE-153</x:v>
      </x:c>
      <x:c r="B154" s="12" t="str">
        <x:v>Riyadh Region</x:v>
      </x:c>
      <x:c r="C154" s="12" t="str">
        <x:v>Riyadh</x:v>
      </x:c>
      <x:c r="D154" s="12" t="str">
        <x:v>Saudi Electricity</x:v>
      </x:c>
      <x:c r="E154" s="12" t="str">
        <x:v>Pipeline</x:v>
      </x:c>
      <x:c r="F154" s="12" t="str">
        <x:v>HDD</x:v>
      </x:c>
      <x:c r="G154" s="12" t="str">
        <x:v>Installation of a new 18-inch process water pipeline within the Riyadh project area, including a crossing of the overhead power line by horizontal directional drilling (HDD).</x:v>
      </x:c>
      <x:c r="H154" s="14" t="n">
        <x:v>21</x:v>
      </x:c>
    </x:row>
    <x:row r="155">
      <x:c r="A155" s="12" t="str">
        <x:v>CASE-154</x:v>
      </x:c>
      <x:c r="B155" s="12" t="str">
        <x:v>Eastern Region</x:v>
      </x:c>
      <x:c r="C155" s="12" t="str">
        <x:v>Dammam</x:v>
      </x:c>
      <x:c r="D155" s="12" t="str">
        <x:v>Ministry of Transport (MOT)</x:v>
      </x:c>
      <x:c r="E155" s="12" t="str">
        <x:v>Borrow Pit</x:v>
      </x:c>
      <x:c r="F155" s="12" t="str">
        <x:v>N/A</x:v>
      </x:c>
      <x:c r="G155" s="12" t="str">
        <x:v>Request to use a temporary borrow pit near Dammam to obtain granular fill for project earthworks.</x:v>
      </x:c>
      <x:c r="H155" s="14" t="n">
        <x:v>103</x:v>
      </x:c>
    </x:row>
    <x:row r="156">
      <x:c r="A156" s="12" t="str">
        <x:v>CASE-155</x:v>
      </x:c>
      <x:c r="B156" s="12" t="str">
        <x:v>Riyadh Region</x:v>
      </x:c>
      <x:c r="C156" s="12" t="str">
        <x:v>Al Majma'ah</x:v>
      </x:c>
      <x:c r="D156" s="12" t="str">
        <x:v>Saudi Arabia Railways (SAR)</x:v>
      </x:c>
      <x:c r="E156" s="12" t="str">
        <x:v>Culvert</x:v>
      </x:c>
      <x:c r="F156" s="12" t="str">
        <x:v>N/A</x:v>
      </x:c>
      <x:c r="G156" s="12" t="str">
        <x:v>Construction of a box culvert near Al Majma'ah to support drainage works adjacent to the rail right-of-way.</x:v>
      </x:c>
      <x:c r="H156" s="14" t="n">
        <x:v>65</x:v>
      </x:c>
    </x:row>
    <x:row r="157">
      <x:c r="A157" s="12" t="str">
        <x:v>CASE-156</x:v>
      </x:c>
      <x:c r="B157" s="12" t="str">
        <x:v>Eastern Region</x:v>
      </x:c>
      <x:c r="C157" s="12" t="str">
        <x:v>Ras Tanura</x:v>
      </x:c>
      <x:c r="D157" s="12" t="str">
        <x:v>National Guard</x:v>
      </x:c>
      <x:c r="E157" s="12" t="str">
        <x:v>Well Drilling</x:v>
      </x:c>
      <x:c r="F157" s="12" t="str">
        <x:v>N/A</x:v>
      </x:c>
      <x:c r="G157" s="12" t="str">
        <x:v>Drilling of 1 new monitoring well within the project area near Ras Tanura, including temporary access and site preparation.</x:v>
      </x:c>
      <x:c r="H157" s="14" t="n">
        <x:v>52</x:v>
      </x:c>
    </x:row>
    <x:row r="158">
      <x:c r="A158" s="12" t="str">
        <x:v>CASE-157</x:v>
      </x:c>
      <x:c r="B158" s="12" t="str">
        <x:v>Eastern Region</x:v>
      </x:c>
      <x:c r="C158" s="12" t="str">
        <x:v>Khafji</x:v>
      </x:c>
      <x:c r="D158" s="12" t="str">
        <x:v>Border Guard</x:v>
      </x:c>
      <x:c r="E158" s="12" t="str">
        <x:v>Culvert</x:v>
      </x:c>
      <x:c r="F158" s="12" t="str">
        <x:v>N/A</x:v>
      </x:c>
      <x:c r="G158" s="12" t="str">
        <x:v>Proposed reinforced concrete culvert crossing near Khafji as part of drainage and infrastructure improvement works.</x:v>
      </x:c>
      <x:c r="H158" s="14" t="n">
        <x:v>30</x:v>
      </x:c>
    </x:row>
    <x:row r="159">
      <x:c r="A159" s="12" t="str">
        <x:v>CASE-158</x:v>
      </x:c>
      <x:c r="B159" s="12" t="str">
        <x:v>Riyadh Region</x:v>
      </x:c>
      <x:c r="C159" s="12" t="str">
        <x:v>Al Majma'ah</x:v>
      </x:c>
      <x:c r="D159" s="12" t="str">
        <x:v>National Guard</x:v>
      </x:c>
      <x:c r="E159" s="12" t="str">
        <x:v>Culvert</x:v>
      </x:c>
      <x:c r="F159" s="12" t="str">
        <x:v>N/A</x:v>
      </x:c>
      <x:c r="G159" s="12" t="str">
        <x:v>Extension and installation of a reinforced concrete culvert in the Al Majma'ah project area, including temporary traffic and site access arrangements.</x:v>
      </x:c>
      <x:c r="H159" s="14" t="n">
        <x:v>50</x:v>
      </x:c>
    </x:row>
    <x:row r="160">
      <x:c r="A160" s="12" t="str">
        <x:v>CASE-159</x:v>
      </x:c>
      <x:c r="B160" s="12" t="str">
        <x:v>Madinah Region</x:v>
      </x:c>
      <x:c r="C160" s="12" t="str">
        <x:v>Madinah</x:v>
      </x:c>
      <x:c r="D160" s="12" t="str">
        <x:v>National Water Company (NWC)</x:v>
      </x:c>
      <x:c r="E160" s="12" t="str">
        <x:v>Pipeline</x:v>
      </x:c>
      <x:c r="F160" s="12" t="str">
        <x:v>HDD</x:v>
      </x:c>
      <x:c r="G160" s="12" t="str">
        <x:v>Proposed 24-inch process water pipeline crossing at Madinah; the crossing is planned using horizontal directional drilling (HDD) across the water transmission line.</x:v>
      </x:c>
      <x:c r="H160" s="14" t="n">
        <x:v>30</x:v>
      </x:c>
    </x:row>
    <x:row r="161">
      <x:c r="A161" s="12" t="str">
        <x:v>CASE-160</x:v>
      </x:c>
      <x:c r="B161" s="12" t="str">
        <x:v>Jazan Region</x:v>
      </x:c>
      <x:c r="C161" s="12" t="str">
        <x:v>Jazan</x:v>
      </x:c>
      <x:c r="D161" s="12" t="str">
        <x:v>Border Guard</x:v>
      </x:c>
      <x:c r="E161" s="12" t="str">
        <x:v>Pipeline</x:v>
      </x:c>
      <x:c r="F161" s="12" t="str">
        <x:v>Open Cut</x:v>
      </x:c>
      <x:c r="G161" s="12" t="str">
        <x:v>Construction of a 16-inch gas pipeline crossing the existing controlled area boundary near Jazan using open-cut excavation.</x:v>
      </x:c>
      <x:c r="H161" s="14" t="n">
        <x:v>30</x:v>
      </x:c>
    </x:row>
    <x:row r="162">
      <x:c r="A162" s="12" t="str">
        <x:v>CASE-161</x:v>
      </x:c>
      <x:c r="B162" s="12" t="str">
        <x:v>Hail Region</x:v>
      </x:c>
      <x:c r="C162" s="12" t="str">
        <x:v>Hail</x:v>
      </x:c>
      <x:c r="D162" s="12" t="str">
        <x:v>Saudi Electricity</x:v>
      </x:c>
      <x:c r="E162" s="12" t="str">
        <x:v>Pipeline</x:v>
      </x:c>
      <x:c r="F162" s="12" t="str">
        <x:v>HDD</x:v>
      </x:c>
      <x:c r="G162" s="12" t="str">
        <x:v>Construction of a 16-inch water pipeline crossing the existing overhead power line near Hail using horizontal directional drilling (HDD).</x:v>
      </x:c>
      <x:c r="H162" s="14" t="n">
        <x:v>27</x:v>
      </x:c>
    </x:row>
    <x:row r="163">
      <x:c r="A163" s="12" t="str">
        <x:v>CASE-162</x:v>
      </x:c>
      <x:c r="B163" s="12" t="str">
        <x:v>Riyadh Region</x:v>
      </x:c>
      <x:c r="C163" s="12" t="str">
        <x:v>Al Majma'ah</x:v>
      </x:c>
      <x:c r="D163" s="12" t="str">
        <x:v>Saudi Arabia Railways (SAR)</x:v>
      </x:c>
      <x:c r="E163" s="12" t="str">
        <x:v>Pipeline</x:v>
      </x:c>
      <x:c r="F163" s="12" t="str">
        <x:v>HDD</x:v>
      </x:c>
      <x:c r="G163" s="12" t="str">
        <x:v>Proposed 24-inch crude oil pipeline crossing at Al Majma'ah; the crossing is planned using horizontal directional drilling (HDD) across the railway corridor.</x:v>
      </x:c>
      <x:c r="H163" s="14" t="n">
        <x:v>81</x:v>
      </x:c>
    </x:row>
    <x:row r="164">
      <x:c r="A164" s="12" t="str">
        <x:v>CASE-163</x:v>
      </x:c>
      <x:c r="B164" s="12" t="str">
        <x:v>Eastern Region</x:v>
      </x:c>
      <x:c r="C164" s="12" t="str">
        <x:v>Jubail</x:v>
      </x:c>
      <x:c r="D164" s="12" t="str">
        <x:v>National Water Company (NWC)</x:v>
      </x:c>
      <x:c r="E164" s="12" t="str">
        <x:v>Pipeline</x:v>
      </x:c>
      <x:c r="F164" s="12" t="str">
        <x:v>Open Cut</x:v>
      </x:c>
      <x:c r="G164" s="12" t="str">
        <x:v>Proposed 18-inch crude oil pipeline crossing at Jubail; the crossing is planned using open-cut excavation across the utility corridor.</x:v>
      </x:c>
      <x:c r="H164" s="14" t="n">
        <x:v>27</x:v>
      </x:c>
    </x:row>
    <x:row r="165">
      <x:c r="A165" s="12" t="str">
        <x:v>CASE-164</x:v>
      </x:c>
      <x:c r="B165" s="12" t="str">
        <x:v>Jazan Region</x:v>
      </x:c>
      <x:c r="C165" s="12" t="str">
        <x:v>Jazan</x:v>
      </x:c>
      <x:c r="D165" s="12" t="str">
        <x:v>Border Guard</x:v>
      </x:c>
      <x:c r="E165" s="12" t="str">
        <x:v>Pipeline</x:v>
      </x:c>
      <x:c r="F165" s="12" t="str">
        <x:v>Open Cut</x:v>
      </x:c>
      <x:c r="G165" s="12" t="str">
        <x:v>Construction of a 36-inch process water pipeline crossing the existing restricted access route near Jazan using open-cut excavation.</x:v>
      </x:c>
      <x:c r="H165" s="14" t="n">
        <x:v>24</x:v>
      </x:c>
    </x:row>
    <x:row r="166">
      <x:c r="A166" s="12" t="str">
        <x:v>CASE-165</x:v>
      </x:c>
      <x:c r="B166" s="12" t="str">
        <x:v>Riyadh Region</x:v>
      </x:c>
      <x:c r="C166" s="12" t="str">
        <x:v>Al Kharj</x:v>
      </x:c>
      <x:c r="D166" s="12" t="str">
        <x:v>Saudi Arabia Railways (SAR)</x:v>
      </x:c>
      <x:c r="E166" s="12" t="str">
        <x:v>Pipeline</x:v>
      </x:c>
      <x:c r="F166" s="12" t="str">
        <x:v>HDD</x:v>
      </x:c>
      <x:c r="G166" s="12" t="str">
        <x:v>Proposed 12-inch utility pipeline crossing at Al Kharj; the crossing is planned using horizontal directional drilling (HDD) across the railway track.</x:v>
      </x:c>
      <x:c r="H166" s="14" t="n">
        <x:v>72</x:v>
      </x:c>
    </x:row>
    <x:row r="167">
      <x:c r="A167" s="12" t="str">
        <x:v>CASE-166</x:v>
      </x:c>
      <x:c r="B167" s="12" t="str">
        <x:v>Eastern Region</x:v>
      </x:c>
      <x:c r="C167" s="12" t="str">
        <x:v>Al Khobar</x:v>
      </x:c>
      <x:c r="D167" s="12" t="str">
        <x:v>Saudi Electricity</x:v>
      </x:c>
      <x:c r="E167" s="12" t="str">
        <x:v>Temporary Site</x:v>
      </x:c>
      <x:c r="F167" s="12" t="str">
        <x:v>N/A</x:v>
      </x:c>
      <x:c r="G167" s="12" t="str">
        <x:v>Temporary site request adjacent to the project area in Al Khobar to accommodate contractor offices and site logistics.</x:v>
      </x:c>
      <x:c r="H167" s="14" t="n">
        <x:v>16</x:v>
      </x:c>
    </x:row>
    <x:row r="168">
      <x:c r="A168" s="12" t="str">
        <x:v>CASE-167</x:v>
      </x:c>
      <x:c r="B168" s="12" t="str">
        <x:v>Eastern Region</x:v>
      </x:c>
      <x:c r="C168" s="12" t="str">
        <x:v>Jubail</x:v>
      </x:c>
      <x:c r="D168" s="12" t="str">
        <x:v>National Water Company (NWC)</x:v>
      </x:c>
      <x:c r="E168" s="12" t="str">
        <x:v>Pipeline</x:v>
      </x:c>
      <x:c r="F168" s="12" t="str">
        <x:v>Open Cut</x:v>
      </x:c>
      <x:c r="G168" s="12" t="str">
        <x:v>Installation of a new 8-inch utility pipeline within the Jubail project area, including a crossing of the utility corridor by open-cut excavation.</x:v>
      </x:c>
      <x:c r="H168" s="14" t="n">
        <x:v>27</x:v>
      </x:c>
    </x:row>
    <x:row r="169">
      <x:c r="A169" s="12" t="str">
        <x:v>CASE-168</x:v>
      </x:c>
      <x:c r="B169" s="12" t="str">
        <x:v>Riyadh Region</x:v>
      </x:c>
      <x:c r="C169" s="12" t="str">
        <x:v>Al Kharj</x:v>
      </x:c>
      <x:c r="D169" s="12" t="str">
        <x:v>Water Transmission Company (WTCO)</x:v>
      </x:c>
      <x:c r="E169" s="12" t="str">
        <x:v>Pipeline</x:v>
      </x:c>
      <x:c r="F169" s="12" t="str">
        <x:v>HDD</x:v>
      </x:c>
      <x:c r="G169" s="12" t="str">
        <x:v>Construction of a 30-inch utility pipeline crossing the existing utility corridor near Al Kharj using horizontal directional drilling (HDD).</x:v>
      </x:c>
      <x:c r="H169" s="14" t="n">
        <x:v>16</x:v>
      </x:c>
    </x:row>
    <x:row r="170">
      <x:c r="A170" s="12" t="str">
        <x:v>CASE-169</x:v>
      </x:c>
      <x:c r="B170" s="12" t="str">
        <x:v>Northern Borders Region</x:v>
      </x:c>
      <x:c r="C170" s="12" t="str">
        <x:v>Rafha</x:v>
      </x:c>
      <x:c r="D170" s="12" t="str">
        <x:v>Ministry of Transport (MOT)</x:v>
      </x:c>
      <x:c r="E170" s="12" t="str">
        <x:v>Well Drilling</x:v>
      </x:c>
      <x:c r="F170" s="12" t="str">
        <x:v>N/A</x:v>
      </x:c>
      <x:c r="G170" s="12" t="str">
        <x:v>Drilling of 2 new water wells within the project area near Rafha, including temporary access and site preparation.</x:v>
      </x:c>
      <x:c r="H170" s="14" t="n">
        <x:v>71</x:v>
      </x:c>
    </x:row>
    <x:row r="171">
      <x:c r="A171" s="12" t="str">
        <x:v>CASE-170</x:v>
      </x:c>
      <x:c r="B171" s="12" t="str">
        <x:v>Eastern Region</x:v>
      </x:c>
      <x:c r="C171" s="12" t="str">
        <x:v>Al Khobar</x:v>
      </x:c>
      <x:c r="D171" s="12" t="str">
        <x:v>Ministry of Defense (MOD)</x:v>
      </x:c>
      <x:c r="E171" s="12" t="str">
        <x:v>Pipeline</x:v>
      </x:c>
      <x:c r="F171" s="12" t="str">
        <x:v>HDD</x:v>
      </x:c>
      <x:c r="G171" s="12" t="str">
        <x:v>Proposed 24-inch process water pipeline crossing at Al Khobar; the crossing is planned using horizontal directional drilling (HDD) across the controlled area boundary.</x:v>
      </x:c>
      <x:c r="H171" s="14" t="n">
        <x:v>79</x:v>
      </x:c>
    </x:row>
    <x:row r="172">
      <x:c r="A172" s="12" t="str">
        <x:v>CASE-171</x:v>
      </x:c>
      <x:c r="B172" s="12" t="str">
        <x:v>Eastern Region</x:v>
      </x:c>
      <x:c r="C172" s="12" t="str">
        <x:v>Ras Tanura</x:v>
      </x:c>
      <x:c r="D172" s="12" t="str">
        <x:v>Saudi Electricity</x:v>
      </x:c>
      <x:c r="E172" s="12" t="str">
        <x:v>Pipeline</x:v>
      </x:c>
      <x:c r="F172" s="12" t="str">
        <x:v>HDD</x:v>
      </x:c>
      <x:c r="G172" s="12" t="str">
        <x:v>Proposed 24-inch process water pipeline crossing at Ras Tanura; the crossing is planned using horizontal directional drilling (HDD) across the substation access corridor.</x:v>
      </x:c>
      <x:c r="H172" s="14" t="n">
        <x:v>25</x:v>
      </x:c>
    </x:row>
    <x:row r="173">
      <x:c r="A173" s="12" t="str">
        <x:v>CASE-172</x:v>
      </x:c>
      <x:c r="B173" s="12" t="str">
        <x:v>Eastern Region</x:v>
      </x:c>
      <x:c r="C173" s="12" t="str">
        <x:v>Al Ahsa</x:v>
      </x:c>
      <x:c r="D173" s="12" t="str">
        <x:v>Ministry of Transport (MOT)</x:v>
      </x:c>
      <x:c r="E173" s="12" t="str">
        <x:v>Pipeline</x:v>
      </x:c>
      <x:c r="F173" s="12" t="str">
        <x:v>HDD</x:v>
      </x:c>
      <x:c r="G173" s="12" t="str">
        <x:v>Installation of a new 8-inch utility pipeline within the Al Ahsa project area, including a crossing of the main road by horizontal directional drilling (HDD).</x:v>
      </x:c>
      <x:c r="H173" s="14" t="n">
        <x:v>49</x:v>
      </x:c>
    </x:row>
    <x:row r="174">
      <x:c r="A174" s="12" t="str">
        <x:v>CASE-173</x:v>
      </x:c>
      <x:c r="B174" s="12" t="str">
        <x:v>Eastern Region</x:v>
      </x:c>
      <x:c r="C174" s="12" t="str">
        <x:v>Abqaiq</x:v>
      </x:c>
      <x:c r="D174" s="12" t="str">
        <x:v>Border Guard</x:v>
      </x:c>
      <x:c r="E174" s="12" t="str">
        <x:v>Pipeline</x:v>
      </x:c>
      <x:c r="F174" s="12" t="str">
        <x:v>HDD</x:v>
      </x:c>
      <x:c r="G174" s="12" t="str">
        <x:v>Construction of a 8-inch crude oil pipeline crossing the existing government facility corridor near Abqaiq using horizontal directional drilling (HDD).</x:v>
      </x:c>
      <x:c r="H174" s="14" t="n">
        <x:v>25</x:v>
      </x:c>
    </x:row>
    <x:row r="175">
      <x:c r="A175" s="12" t="str">
        <x:v>CASE-174</x:v>
      </x:c>
      <x:c r="B175" s="12" t="str">
        <x:v>Eastern Region</x:v>
      </x:c>
      <x:c r="C175" s="12" t="str">
        <x:v>Al Ahsa</x:v>
      </x:c>
      <x:c r="D175" s="12" t="str">
        <x:v>Water Transmission Company (WTCO)</x:v>
      </x:c>
      <x:c r="E175" s="12" t="str">
        <x:v>Pipeline</x:v>
      </x:c>
      <x:c r="F175" s="12" t="str">
        <x:v>HDD</x:v>
      </x:c>
      <x:c r="G175" s="12" t="str">
        <x:v>Proposed 16-inch process water pipeline crossing at Al Ahsa; the crossing is planned using horizontal directional drilling (HDD) across the distribution main.</x:v>
      </x:c>
      <x:c r="H175" s="14" t="n">
        <x:v>12</x:v>
      </x:c>
    </x:row>
    <x:row r="176">
      <x:c r="A176" s="12" t="str">
        <x:v>CASE-175</x:v>
      </x:c>
      <x:c r="B176" s="12" t="str">
        <x:v>Riyadh Region</x:v>
      </x:c>
      <x:c r="C176" s="12" t="str">
        <x:v>Riyadh</x:v>
      </x:c>
      <x:c r="D176" s="12" t="str">
        <x:v>National Guard</x:v>
      </x:c>
      <x:c r="E176" s="12" t="str">
        <x:v>Pipeline</x:v>
      </x:c>
      <x:c r="F176" s="12" t="str">
        <x:v>HDD</x:v>
      </x:c>
      <x:c r="G176" s="12" t="str">
        <x:v>Installation of a new 6-inch gas pipeline within the Riyadh project area, including a crossing of the security facility access road by horizontal directional drilling (HDD).</x:v>
      </x:c>
      <x:c r="H176" s="14" t="n">
        <x:v>53</x:v>
      </x:c>
    </x:row>
    <x:row r="177">
      <x:c r="A177" s="12" t="str">
        <x:v>CASE-176</x:v>
      </x:c>
      <x:c r="B177" s="12" t="str">
        <x:v>Eastern Region</x:v>
      </x:c>
      <x:c r="C177" s="12" t="str">
        <x:v>Ras Tanura</x:v>
      </x:c>
      <x:c r="D177" s="12" t="str">
        <x:v>Border Guard</x:v>
      </x:c>
      <x:c r="E177" s="12" t="str">
        <x:v>Pipeline</x:v>
      </x:c>
      <x:c r="F177" s="12" t="str">
        <x:v>HDD</x:v>
      </x:c>
      <x:c r="G177" s="12" t="str">
        <x:v>Construction of a 20-inch utility pipeline crossing the existing security facility access road near Ras Tanura using horizontal directional drilling (HDD).</x:v>
      </x:c>
      <x:c r="H177" s="14" t="n">
        <x:v>29</x:v>
      </x:c>
    </x:row>
    <x:row r="178">
      <x:c r="A178" s="12" t="str">
        <x:v>CASE-177</x:v>
      </x:c>
      <x:c r="B178" s="12" t="str">
        <x:v>Eastern Region</x:v>
      </x:c>
      <x:c r="C178" s="12" t="str">
        <x:v>Ras Tanura</x:v>
      </x:c>
      <x:c r="D178" s="12" t="str">
        <x:v>Ministry of Transport (MOT)</x:v>
      </x:c>
      <x:c r="E178" s="12" t="str">
        <x:v>Pipeline</x:v>
      </x:c>
      <x:c r="F178" s="12" t="str">
        <x:v>HDD</x:v>
      </x:c>
      <x:c r="G178" s="12" t="str">
        <x:v>Proposed 18-inch gas pipeline crossing at Ras Tanura; the crossing is planned using horizontal directional drilling (HDD) across the service road.</x:v>
      </x:c>
      <x:c r="H178" s="14" t="n">
        <x:v>39</x:v>
      </x:c>
    </x:row>
    <x:row r="179">
      <x:c r="A179" s="12" t="str">
        <x:v>CASE-178</x:v>
      </x:c>
      <x:c r="B179" s="12" t="str">
        <x:v>Eastern Region</x:v>
      </x:c>
      <x:c r="C179" s="12" t="str">
        <x:v>Al Ahsa</x:v>
      </x:c>
      <x:c r="D179" s="12" t="str">
        <x:v>Ministry of Transport (MOT)</x:v>
      </x:c>
      <x:c r="E179" s="12" t="str">
        <x:v>Pipeline</x:v>
      </x:c>
      <x:c r="F179" s="12" t="str">
        <x:v>Open Cut</x:v>
      </x:c>
      <x:c r="G179" s="12" t="str">
        <x:v>Proposed 30-inch water pipeline crossing at Al Ahsa; the crossing is planned using open-cut excavation across the access road.</x:v>
      </x:c>
      <x:c r="H179" s="14" t="n">
        <x:v>50</x:v>
      </x:c>
    </x:row>
    <x:row r="180">
      <x:c r="A180" s="12" t="str">
        <x:v>CASE-179</x:v>
      </x:c>
      <x:c r="B180" s="12" t="str">
        <x:v>Makkah Region</x:v>
      </x:c>
      <x:c r="C180" s="12" t="str">
        <x:v>Jeddah</x:v>
      </x:c>
      <x:c r="D180" s="12" t="str">
        <x:v>National Water Company (NWC)</x:v>
      </x:c>
      <x:c r="E180" s="12" t="str">
        <x:v>Temporary Site</x:v>
      </x:c>
      <x:c r="F180" s="12" t="str">
        <x:v>N/A</x:v>
      </x:c>
      <x:c r="G180" s="12" t="str">
        <x:v>Temporary site request adjacent to the project area in Jeddah to accommodate material storage and site logistics.</x:v>
      </x:c>
      <x:c r="H180" s="14" t="n">
        <x:v>20</x:v>
      </x:c>
    </x:row>
    <x:row r="181">
      <x:c r="A181" s="12" t="str">
        <x:v>CASE-180</x:v>
      </x:c>
      <x:c r="B181" s="12" t="str">
        <x:v>Eastern Region</x:v>
      </x:c>
      <x:c r="C181" s="12" t="str">
        <x:v>Khafji</x:v>
      </x:c>
      <x:c r="D181" s="12" t="str">
        <x:v>Ministry of Transport (MOT)</x:v>
      </x:c>
      <x:c r="E181" s="12" t="str">
        <x:v>Borrow Pit</x:v>
      </x:c>
      <x:c r="F181" s="12" t="str">
        <x:v>N/A</x:v>
      </x:c>
      <x:c r="G181" s="12" t="str">
        <x:v>Request to use a temporary borrow pit near Khafji to obtain approved fill material for project earthworks.</x:v>
      </x:c>
      <x:c r="H181" s="14" t="n">
        <x:v>37</x:v>
      </x:c>
    </x:row>
    <x:row r="182">
      <x:c r="A182" s="12" t="str">
        <x:v>CASE-181</x:v>
      </x:c>
      <x:c r="B182" s="12" t="str">
        <x:v>Eastern Region</x:v>
      </x:c>
      <x:c r="C182" s="12" t="str">
        <x:v>Dammam</x:v>
      </x:c>
      <x:c r="D182" s="12" t="str">
        <x:v>Saudi Electricity</x:v>
      </x:c>
      <x:c r="E182" s="12" t="str">
        <x:v>Culvert</x:v>
      </x:c>
      <x:c r="F182" s="12" t="str">
        <x:v>N/A</x:v>
      </x:c>
      <x:c r="G182" s="12" t="str">
        <x:v>Construction of a single-cell culvert near Dammam to support drainage works adjacent to the substation access corridor.</x:v>
      </x:c>
      <x:c r="H182" s="14" t="n">
        <x:v>22</x:v>
      </x:c>
    </x:row>
    <x:row r="183">
      <x:c r="A183" s="12" t="str">
        <x:v>CASE-182</x:v>
      </x:c>
      <x:c r="B183" s="12" t="str">
        <x:v>Riyadh Region</x:v>
      </x:c>
      <x:c r="C183" s="12" t="str">
        <x:v>Al Majma'ah</x:v>
      </x:c>
      <x:c r="D183" s="12" t="str">
        <x:v>Saudi Arabia Railways (SAR)</x:v>
      </x:c>
      <x:c r="E183" s="12" t="str">
        <x:v>Pipeline</x:v>
      </x:c>
      <x:c r="F183" s="12" t="str">
        <x:v>HDD</x:v>
      </x:c>
      <x:c r="G183" s="12" t="str">
        <x:v>Construction of a 36-inch gas pipeline crossing the existing railway track near Al Majma'ah using horizontal directional drilling (HDD).</x:v>
      </x:c>
      <x:c r="H183" s="14" t="n">
        <x:v>75</x:v>
      </x:c>
    </x:row>
    <x:row r="184">
      <x:c r="A184" s="12" t="str">
        <x:v>CASE-183</x:v>
      </x:c>
      <x:c r="B184" s="12" t="str">
        <x:v>Eastern Region</x:v>
      </x:c>
      <x:c r="C184" s="12" t="str">
        <x:v>Abqaiq</x:v>
      </x:c>
      <x:c r="D184" s="12" t="str">
        <x:v>Saudi Electricity</x:v>
      </x:c>
      <x:c r="E184" s="12" t="str">
        <x:v>Pipeline</x:v>
      </x:c>
      <x:c r="F184" s="12" t="str">
        <x:v>HDD</x:v>
      </x:c>
      <x:c r="G184" s="12" t="str">
        <x:v>Construction of a 16-inch utility pipeline crossing the existing overhead power line near Abqaiq using horizontal directional drilling (HDD).</x:v>
      </x:c>
      <x:c r="H184" s="14" t="n">
        <x:v>16</x:v>
      </x:c>
    </x:row>
    <x:row r="185">
      <x:c r="A185" s="12" t="str">
        <x:v>CASE-184</x:v>
      </x:c>
      <x:c r="B185" s="12" t="str">
        <x:v>Riyadh Region</x:v>
      </x:c>
      <x:c r="C185" s="12" t="str">
        <x:v>Riyadh</x:v>
      </x:c>
      <x:c r="D185" s="12" t="str">
        <x:v>Ministry of Transport (MOT)</x:v>
      </x:c>
      <x:c r="E185" s="12" t="str">
        <x:v>Pipeline</x:v>
      </x:c>
      <x:c r="F185" s="12" t="str">
        <x:v>Open Cut</x:v>
      </x:c>
      <x:c r="G185" s="12" t="str">
        <x:v>Construction of a 8-inch water pipeline crossing the existing service road near Riyadh using open-cut excavation.</x:v>
      </x:c>
      <x:c r="H185" s="14" t="n">
        <x:v>39</x:v>
      </x:c>
    </x:row>
    <x:row r="186">
      <x:c r="A186" s="12" t="str">
        <x:v>CASE-185</x:v>
      </x:c>
      <x:c r="B186" s="12" t="str">
        <x:v>Eastern Region</x:v>
      </x:c>
      <x:c r="C186" s="12" t="str">
        <x:v>Ras Tanura</x:v>
      </x:c>
      <x:c r="D186" s="12" t="str">
        <x:v>Saudi Electricity</x:v>
      </x:c>
      <x:c r="E186" s="12" t="str">
        <x:v>Pipeline</x:v>
      </x:c>
      <x:c r="F186" s="12" t="str">
        <x:v>HDD</x:v>
      </x:c>
      <x:c r="G186" s="12" t="str">
        <x:v>Construction of a 8-inch process water pipeline crossing the existing underground cable route near Ras Tanura using horizontal directional drilling (HDD).</x:v>
      </x:c>
      <x:c r="H186" s="14" t="n">
        <x:v>20</x:v>
      </x:c>
    </x:row>
    <x:row r="187">
      <x:c r="A187" s="12" t="str">
        <x:v>CASE-186</x:v>
      </x:c>
      <x:c r="B187" s="12" t="str">
        <x:v>Eastern Region</x:v>
      </x:c>
      <x:c r="C187" s="12" t="str">
        <x:v>Abqaiq</x:v>
      </x:c>
      <x:c r="D187" s="12" t="str">
        <x:v>Ministry of Transport (MOT)</x:v>
      </x:c>
      <x:c r="E187" s="12" t="str">
        <x:v>Temporary Site</x:v>
      </x:c>
      <x:c r="F187" s="12" t="str">
        <x:v>N/A</x:v>
      </x:c>
      <x:c r="G187" s="12" t="str">
        <x:v>Temporary site request adjacent to the project area in Abqaiq to accommodate construction support facilities and site logistics.</x:v>
      </x:c>
      <x:c r="H187" s="14" t="n">
        <x:v>25</x:v>
      </x:c>
    </x:row>
    <x:row r="188">
      <x:c r="A188" s="12" t="str">
        <x:v>CASE-187</x:v>
      </x:c>
      <x:c r="B188" s="12" t="str">
        <x:v>Eastern Region</x:v>
      </x:c>
      <x:c r="C188" s="12" t="str">
        <x:v>Ras Tanura</x:v>
      </x:c>
      <x:c r="D188" s="12" t="str">
        <x:v>Ministry of Transport (MOT)</x:v>
      </x:c>
      <x:c r="E188" s="12" t="str">
        <x:v>Pipeline</x:v>
      </x:c>
      <x:c r="F188" s="12" t="str">
        <x:v>HDD</x:v>
      </x:c>
      <x:c r="G188" s="12" t="str">
        <x:v>Construction of a 12-inch water pipeline crossing the existing highway near Ras Tanura using horizontal directional drilling (HDD).</x:v>
      </x:c>
      <x:c r="H188" s="14" t="n">
        <x:v>48</x:v>
      </x:c>
    </x:row>
    <x:row r="189">
      <x:c r="A189" s="12" t="str">
        <x:v>CASE-188</x:v>
      </x:c>
      <x:c r="B189" s="12" t="str">
        <x:v>Qassim Region</x:v>
      </x:c>
      <x:c r="C189" s="12" t="str">
        <x:v>Buraydah</x:v>
      </x:c>
      <x:c r="D189" s="12" t="str">
        <x:v>Ministry of Transport (MOT)</x:v>
      </x:c>
      <x:c r="E189" s="12" t="str">
        <x:v>Culvert</x:v>
      </x:c>
      <x:c r="F189" s="12" t="str">
        <x:v>N/A</x:v>
      </x:c>
      <x:c r="G189" s="12" t="str">
        <x:v>Construction of a reinforced concrete culvert near Buraydah to support drainage works adjacent to the access road.</x:v>
      </x:c>
      <x:c r="H189" s="14" t="n">
        <x:v>64</x:v>
      </x:c>
    </x:row>
    <x:row r="190">
      <x:c r="A190" s="12" t="str">
        <x:v>CASE-189</x:v>
      </x:c>
      <x:c r="B190" s="12" t="str">
        <x:v>Madinah Region</x:v>
      </x:c>
      <x:c r="C190" s="12" t="str">
        <x:v>Madinah</x:v>
      </x:c>
      <x:c r="D190" s="12" t="str">
        <x:v>Ministry of Interior (MOI)</x:v>
      </x:c>
      <x:c r="E190" s="12" t="str">
        <x:v>Well Drilling</x:v>
      </x:c>
      <x:c r="F190" s="12" t="str">
        <x:v>N/A</x:v>
      </x:c>
      <x:c r="G190" s="12" t="str">
        <x:v>Drilling of 2 new observation wells within the project area near Madinah, including temporary access and site preparation.</x:v>
      </x:c>
      <x:c r="H190" s="14" t="n">
        <x:v>25</x:v>
      </x:c>
    </x:row>
    <x:row r="191">
      <x:c r="A191" s="12" t="str">
        <x:v>CASE-190</x:v>
      </x:c>
      <x:c r="B191" s="12" t="str">
        <x:v>Northern Borders Region</x:v>
      </x:c>
      <x:c r="C191" s="12" t="str">
        <x:v>Turaif</x:v>
      </x:c>
      <x:c r="D191" s="12" t="str">
        <x:v>Water Transmission Company (WTCO)</x:v>
      </x:c>
      <x:c r="E191" s="12" t="str">
        <x:v>Pipeline</x:v>
      </x:c>
      <x:c r="F191" s="12" t="str">
        <x:v>HDD</x:v>
      </x:c>
      <x:c r="G191" s="12" t="str">
        <x:v>Construction of a 8-inch utility pipeline crossing the existing water transmission line near Turaif using horizontal directional drilling (HDD).</x:v>
      </x:c>
      <x:c r="H191" s="14" t="n">
        <x:v>29</x:v>
      </x:c>
    </x:row>
    <x:row r="192">
      <x:c r="A192" s="12" t="str">
        <x:v>CASE-191</x:v>
      </x:c>
      <x:c r="B192" s="12" t="str">
        <x:v>Riyadh Region</x:v>
      </x:c>
      <x:c r="C192" s="12" t="str">
        <x:v>Riyadh</x:v>
      </x:c>
      <x:c r="D192" s="12" t="str">
        <x:v>Saudi Arabia Railways (SAR)</x:v>
      </x:c>
      <x:c r="E192" s="12" t="str">
        <x:v>Well Drilling</x:v>
      </x:c>
      <x:c r="F192" s="12" t="str">
        <x:v>N/A</x:v>
      </x:c>
      <x:c r="G192" s="12" t="str">
        <x:v>Drilling of 3 new observation wells within the project area near Riyadh, including temporary access and site preparation.</x:v>
      </x:c>
      <x:c r="H192" s="14" t="n">
        <x:v>80</x:v>
      </x:c>
    </x:row>
    <x:row r="193">
      <x:c r="A193" s="12" t="str">
        <x:v>CASE-192</x:v>
      </x:c>
      <x:c r="B193" s="12" t="str">
        <x:v>Riyadh Region</x:v>
      </x:c>
      <x:c r="C193" s="12" t="str">
        <x:v>Al Majma'ah</x:v>
      </x:c>
      <x:c r="D193" s="12" t="str">
        <x:v>Ministry of Defense (MOD)</x:v>
      </x:c>
      <x:c r="E193" s="12" t="str">
        <x:v>Well Drilling</x:v>
      </x:c>
      <x:c r="F193" s="12" t="str">
        <x:v>N/A</x:v>
      </x:c>
      <x:c r="G193" s="12" t="str">
        <x:v>Drilling of 1 new monitoring well within the project area near Al Majma'ah, including temporary access and site preparation.</x:v>
      </x:c>
      <x:c r="H193" s="14" t="n">
        <x:v>71</x:v>
      </x:c>
    </x:row>
    <x:row r="194">
      <x:c r="A194" s="12" t="str">
        <x:v>CASE-193</x:v>
      </x:c>
      <x:c r="B194" s="12" t="str">
        <x:v>Tabuk Region</x:v>
      </x:c>
      <x:c r="C194" s="12" t="str">
        <x:v>Tabuk</x:v>
      </x:c>
      <x:c r="D194" s="12" t="str">
        <x:v>Ministry of Transport (MOT)</x:v>
      </x:c>
      <x:c r="E194" s="12" t="str">
        <x:v>Pipeline</x:v>
      </x:c>
      <x:c r="F194" s="12" t="str">
        <x:v>Open Cut</x:v>
      </x:c>
      <x:c r="G194" s="12" t="str">
        <x:v>Installation of a new 20-inch crude oil pipeline within the Tabuk project area, including a crossing of the highway by open-cut excavation.</x:v>
      </x:c>
      <x:c r="H194" s="14" t="n">
        <x:v>56</x:v>
      </x:c>
    </x:row>
    <x:row r="195">
      <x:c r="A195" s="12" t="str">
        <x:v>CASE-194</x:v>
      </x:c>
      <x:c r="B195" s="12" t="str">
        <x:v>Makkah Region</x:v>
      </x:c>
      <x:c r="C195" s="12" t="str">
        <x:v>Taif</x:v>
      </x:c>
      <x:c r="D195" s="12" t="str">
        <x:v>Water Transmission Company (WTCO)</x:v>
      </x:c>
      <x:c r="E195" s="12" t="str">
        <x:v>Pipeline</x:v>
      </x:c>
      <x:c r="F195" s="12" t="str">
        <x:v>HDD</x:v>
      </x:c>
      <x:c r="G195" s="12" t="str">
        <x:v>Installation of a new 42-inch crude oil pipeline within the Taif project area, including a crossing of the distribution main by horizontal directional drilling (HDD).</x:v>
      </x:c>
      <x:c r="H195" s="14" t="n">
        <x:v>16</x:v>
      </x:c>
    </x:row>
    <x:row r="196">
      <x:c r="A196" s="12" t="str">
        <x:v>CASE-195</x:v>
      </x:c>
      <x:c r="B196" s="12" t="str">
        <x:v>Jazan Region</x:v>
      </x:c>
      <x:c r="C196" s="12" t="str">
        <x:v>Jazan</x:v>
      </x:c>
      <x:c r="D196" s="12" t="str">
        <x:v>Ministry of Defense (MOD)</x:v>
      </x:c>
      <x:c r="E196" s="12" t="str">
        <x:v>Pipeline</x:v>
      </x:c>
      <x:c r="F196" s="12" t="str">
        <x:v>Open Cut</x:v>
      </x:c>
      <x:c r="G196" s="12" t="str">
        <x:v>Construction of a 12-inch process water pipeline crossing the existing security facility access road near Jazan using open-cut excavation.</x:v>
      </x:c>
      <x:c r="H196" s="14" t="n">
        <x:v>87</x:v>
      </x:c>
    </x:row>
    <x:row r="197">
      <x:c r="A197" s="12" t="str">
        <x:v>CASE-196</x:v>
      </x:c>
      <x:c r="B197" s="12" t="str">
        <x:v>Eastern Region</x:v>
      </x:c>
      <x:c r="C197" s="12" t="str">
        <x:v>Dhahran</x:v>
      </x:c>
      <x:c r="D197" s="12" t="str">
        <x:v>National Guard</x:v>
      </x:c>
      <x:c r="E197" s="12" t="str">
        <x:v>Well Drilling</x:v>
      </x:c>
      <x:c r="F197" s="12" t="str">
        <x:v>N/A</x:v>
      </x:c>
      <x:c r="G197" s="12" t="str">
        <x:v>Drilling of 3 new observation wells within the project area near Dhahran, including temporary access and site preparation.</x:v>
      </x:c>
      <x:c r="H197" s="14" t="n">
        <x:v>50</x:v>
      </x:c>
    </x:row>
    <x:row r="198">
      <x:c r="A198" s="12" t="str">
        <x:v>CASE-197</x:v>
      </x:c>
      <x:c r="B198" s="12" t="str">
        <x:v>Qassim Region</x:v>
      </x:c>
      <x:c r="C198" s="12" t="str">
        <x:v>Buraydah</x:v>
      </x:c>
      <x:c r="D198" s="12" t="str">
        <x:v>Ministry of Transport (MOT)</x:v>
      </x:c>
      <x:c r="E198" s="12" t="str">
        <x:v>Culvert</x:v>
      </x:c>
      <x:c r="F198" s="12" t="str">
        <x:v>N/A</x:v>
      </x:c>
      <x:c r="G198" s="12" t="str">
        <x:v>Construction of a reinforced concrete culvert near Buraydah to support drainage works adjacent to the service road.</x:v>
      </x:c>
      <x:c r="H198" s="14" t="n">
        <x:v>84</x:v>
      </x:c>
    </x:row>
    <x:row r="199">
      <x:c r="A199" s="12" t="str">
        <x:v>CASE-198</x:v>
      </x:c>
      <x:c r="B199" s="12" t="str">
        <x:v>Al Jouf Region</x:v>
      </x:c>
      <x:c r="C199" s="12" t="str">
        <x:v>Sakaka</x:v>
      </x:c>
      <x:c r="D199" s="12" t="str">
        <x:v>Ministry of Interior (MOI)</x:v>
      </x:c>
      <x:c r="E199" s="12" t="str">
        <x:v>Culvert</x:v>
      </x:c>
      <x:c r="F199" s="12" t="str">
        <x:v>N/A</x:v>
      </x:c>
      <x:c r="G199" s="12" t="str">
        <x:v>Extension and installation of a single-cell culvert in the Sakaka project area, including temporary traffic and site access arrangements.</x:v>
      </x:c>
      <x:c r="H199" s="14" t="n">
        <x:v>28</x:v>
      </x:c>
    </x:row>
    <x:row r="200">
      <x:c r="A200" s="12" t="str">
        <x:v>CASE-199</x:v>
      </x:c>
      <x:c r="B200" s="12" t="str">
        <x:v>Eastern Region</x:v>
      </x:c>
      <x:c r="C200" s="12" t="str">
        <x:v>Al Khobar</x:v>
      </x:c>
      <x:c r="D200" s="12" t="str">
        <x:v>Ministry of Interior (MOI)</x:v>
      </x:c>
      <x:c r="E200" s="12" t="str">
        <x:v>Temporary Site</x:v>
      </x:c>
      <x:c r="F200" s="12" t="str">
        <x:v>N/A</x:v>
      </x:c>
      <x:c r="G200" s="12" t="str">
        <x:v>Establishment of a temporary construction support area in Al Khobar for construction support facilities associated with the ongoing project.</x:v>
      </x:c>
      <x:c r="H200" s="14" t="n">
        <x:v>18</x:v>
      </x:c>
    </x:row>
    <x:row r="201">
      <x:c r="A201" s="12" t="str">
        <x:v>CASE-200</x:v>
      </x:c>
      <x:c r="B201" s="12" t="str">
        <x:v>Eastern Region</x:v>
      </x:c>
      <x:c r="C201" s="12" t="str">
        <x:v>Al Ahsa</x:v>
      </x:c>
      <x:c r="D201" s="12" t="str">
        <x:v>Ministry of Transport (MOT)</x:v>
      </x:c>
      <x:c r="E201" s="12" t="str">
        <x:v>Temporary Site</x:v>
      </x:c>
      <x:c r="F201" s="12" t="str">
        <x:v>N/A</x:v>
      </x:c>
      <x:c r="G201" s="12" t="str">
        <x:v>Temporary site request adjacent to the project area in Al Ahsa to accommodate contractor offices and site logistics.</x:v>
      </x:c>
      <x:c r="H201" s="14" t="n">
        <x:v>34</x:v>
      </x:c>
    </x:row>
    <x:row r="202">
      <x:c r="A202" s="12" t="str">
        <x:v>CASE-201</x:v>
      </x:c>
      <x:c r="B202" s="12" t="str">
        <x:v>Makkah Region</x:v>
      </x:c>
      <x:c r="C202" s="12" t="str">
        <x:v>Jeddah</x:v>
      </x:c>
      <x:c r="D202" s="12" t="str">
        <x:v>Ministry of Interior (MOI)</x:v>
      </x:c>
      <x:c r="E202" s="12" t="str">
        <x:v>Borrow Pit</x:v>
      </x:c>
      <x:c r="F202" s="12" t="str">
        <x:v>N/A</x:v>
      </x:c>
      <x:c r="G202" s="12" t="str">
        <x:v>Proposed borrow pit in the Jeddah area for sourcing approved fill material required for grading and backfilling activities.</x:v>
      </x:c>
      <x:c r="H202" s="14" t="n">
        <x:v>21</x:v>
      </x:c>
    </x:row>
    <x:row r="203">
      <x:c r="A203" s="12" t="str">
        <x:v>CASE-202</x:v>
      </x:c>
      <x:c r="B203" s="12" t="str">
        <x:v>Riyadh Region</x:v>
      </x:c>
      <x:c r="C203" s="12" t="str">
        <x:v>Riyadh</x:v>
      </x:c>
      <x:c r="D203" s="12" t="str">
        <x:v>National Guard</x:v>
      </x:c>
      <x:c r="E203" s="12" t="str">
        <x:v>Well Drilling</x:v>
      </x:c>
      <x:c r="F203" s="12" t="str">
        <x:v>N/A</x:v>
      </x:c>
      <x:c r="G203" s="12" t="str">
        <x:v>Drilling of 3 new monitoring wells within the project area near Riyadh, including temporary access and site preparation.</x:v>
      </x:c>
      <x:c r="H203" s="14" t="n">
        <x:v>50</x:v>
      </x:c>
    </x:row>
    <x:row r="204">
      <x:c r="A204" s="12" t="str">
        <x:v>CASE-203</x:v>
      </x:c>
      <x:c r="B204" s="12" t="str">
        <x:v>Makkah Region</x:v>
      </x:c>
      <x:c r="C204" s="12" t="str">
        <x:v>Taif</x:v>
      </x:c>
      <x:c r="D204" s="12" t="str">
        <x:v>Ministry of Defense (MOD)</x:v>
      </x:c>
      <x:c r="E204" s="12" t="str">
        <x:v>Well Drilling</x:v>
      </x:c>
      <x:c r="F204" s="12" t="str">
        <x:v>N/A</x:v>
      </x:c>
      <x:c r="G204" s="12" t="str">
        <x:v>Proposed observation well drilling works near Taif, including drilling pad preparation and temporary access.</x:v>
      </x:c>
      <x:c r="H204" s="14" t="n">
        <x:v>78</x:v>
      </x:c>
    </x:row>
    <x:row r="205">
      <x:c r="A205" s="12" t="str">
        <x:v>CASE-204</x:v>
      </x:c>
      <x:c r="B205" s="12" t="str">
        <x:v>Eastern Region</x:v>
      </x:c>
      <x:c r="C205" s="12" t="str">
        <x:v>Khafji</x:v>
      </x:c>
      <x:c r="D205" s="12" t="str">
        <x:v>Water Transmission Company (WTCO)</x:v>
      </x:c>
      <x:c r="E205" s="12" t="str">
        <x:v>Temporary Site</x:v>
      </x:c>
      <x:c r="F205" s="12" t="str">
        <x:v>N/A</x:v>
      </x:c>
      <x:c r="G205" s="12" t="str">
        <x:v>Establishment of a temporary construction support area in Khafji for material storage associated with the ongoing project.</x:v>
      </x:c>
      <x:c r="H205" s="14" t="n">
        <x:v>14</x:v>
      </x:c>
    </x:row>
    <x:row r="206">
      <x:c r="A206" s="12" t="str">
        <x:v>CASE-205</x:v>
      </x:c>
      <x:c r="B206" s="12" t="str">
        <x:v>Riyadh Region</x:v>
      </x:c>
      <x:c r="C206" s="12" t="str">
        <x:v>Al Majma'ah</x:v>
      </x:c>
      <x:c r="D206" s="12" t="str">
        <x:v>Ministry of Defense (MOD)</x:v>
      </x:c>
      <x:c r="E206" s="12" t="str">
        <x:v>Culvert</x:v>
      </x:c>
      <x:c r="F206" s="12" t="str">
        <x:v>N/A</x:v>
      </x:c>
      <x:c r="G206" s="12" t="str">
        <x:v>Proposed box culvert crossing near Al Majma'ah as part of drainage and infrastructure improvement works.</x:v>
      </x:c>
      <x:c r="H206" s="14" t="n">
        <x:v>38</x:v>
      </x:c>
    </x:row>
    <x:row r="207">
      <x:c r="A207" s="12" t="str">
        <x:v>CASE-206</x:v>
      </x:c>
      <x:c r="B207" s="12" t="str">
        <x:v>Riyadh Region</x:v>
      </x:c>
      <x:c r="C207" s="12" t="str">
        <x:v>Al Kharj</x:v>
      </x:c>
      <x:c r="D207" s="12" t="str">
        <x:v>Saudi Electricity</x:v>
      </x:c>
      <x:c r="E207" s="12" t="str">
        <x:v>Pipeline</x:v>
      </x:c>
      <x:c r="F207" s="12" t="str">
        <x:v>Open Cut</x:v>
      </x:c>
      <x:c r="G207" s="12" t="str">
        <x:v>Proposed 36-inch utility pipeline crossing at Al Kharj; the crossing is planned using open-cut excavation across the substation access corridor.</x:v>
      </x:c>
      <x:c r="H207" s="14" t="n">
        <x:v>29</x:v>
      </x:c>
    </x:row>
    <x:row r="208">
      <x:c r="A208" s="12" t="str">
        <x:v>CASE-207</x:v>
      </x:c>
      <x:c r="B208" s="12" t="str">
        <x:v>Qassim Region</x:v>
      </x:c>
      <x:c r="C208" s="12" t="str">
        <x:v>Buraydah</x:v>
      </x:c>
      <x:c r="D208" s="12" t="str">
        <x:v>Ministry of Transport (MOT)</x:v>
      </x:c>
      <x:c r="E208" s="12" t="str">
        <x:v>Pipeline</x:v>
      </x:c>
      <x:c r="F208" s="12" t="str">
        <x:v>HDD</x:v>
      </x:c>
      <x:c r="G208" s="12" t="str">
        <x:v>Construction of a 16-inch water pipeline crossing the existing main road near Buraydah using horizontal directional drilling (HDD).</x:v>
      </x:c>
      <x:c r="H208" s="14" t="n">
        <x:v>53</x:v>
      </x:c>
    </x:row>
    <x:row r="209">
      <x:c r="A209" s="12" t="str">
        <x:v>CASE-208</x:v>
      </x:c>
      <x:c r="B209" s="12" t="str">
        <x:v>Eastern Region</x:v>
      </x:c>
      <x:c r="C209" s="12" t="str">
        <x:v>Abqaiq</x:v>
      </x:c>
      <x:c r="D209" s="12" t="str">
        <x:v>Ministry of Transport (MOT)</x:v>
      </x:c>
      <x:c r="E209" s="12" t="str">
        <x:v>Pipeline</x:v>
      </x:c>
      <x:c r="F209" s="12" t="str">
        <x:v>Open Cut</x:v>
      </x:c>
      <x:c r="G209" s="12" t="str">
        <x:v>Proposed 6-inch utility pipeline crossing at Abqaiq; the crossing is planned using open-cut excavation across the service road.</x:v>
      </x:c>
      <x:c r="H209" s="14" t="n">
        <x:v>64</x:v>
      </x:c>
    </x:row>
    <x:row r="210">
      <x:c r="A210" s="12" t="str">
        <x:v>CASE-209</x:v>
      </x:c>
      <x:c r="B210" s="12" t="str">
        <x:v>Eastern Region</x:v>
      </x:c>
      <x:c r="C210" s="12" t="str">
        <x:v>Abqaiq</x:v>
      </x:c>
      <x:c r="D210" s="12" t="str">
        <x:v>Saudi Electricity</x:v>
      </x:c>
      <x:c r="E210" s="12" t="str">
        <x:v>Temporary Site</x:v>
      </x:c>
      <x:c r="F210" s="12" t="str">
        <x:v>N/A</x:v>
      </x:c>
      <x:c r="G210" s="12" t="str">
        <x:v>Request for a temporary project support site near Abqaiq for contractor offices during the construction period.</x:v>
      </x:c>
      <x:c r="H210" s="14" t="n">
        <x:v>30</x:v>
      </x:c>
    </x:row>
    <x:row r="211">
      <x:c r="A211" s="12" t="str">
        <x:v>CASE-210</x:v>
      </x:c>
      <x:c r="B211" s="12" t="str">
        <x:v>Riyadh Region</x:v>
      </x:c>
      <x:c r="C211" s="12" t="str">
        <x:v>Al Majma'ah</x:v>
      </x:c>
      <x:c r="D211" s="12" t="str">
        <x:v>Saudi Arabia Railways (SAR)</x:v>
      </x:c>
      <x:c r="E211" s="12" t="str">
        <x:v>Pipeline</x:v>
      </x:c>
      <x:c r="F211" s="12" t="str">
        <x:v>HDD</x:v>
      </x:c>
      <x:c r="G211" s="12" t="str">
        <x:v>Proposed 36-inch water pipeline crossing at Al Majma'ah; the crossing is planned using horizontal directional drilling (HDD) across the rail right-of-way.</x:v>
      </x:c>
      <x:c r="H211" s="14" t="n">
        <x:v>70</x:v>
      </x:c>
    </x:row>
    <x:row r="212">
      <x:c r="A212" s="12" t="str">
        <x:v>CASE-211</x:v>
      </x:c>
      <x:c r="B212" s="12" t="str">
        <x:v>Eastern Region</x:v>
      </x:c>
      <x:c r="C212" s="12" t="str">
        <x:v>Khafji</x:v>
      </x:c>
      <x:c r="D212" s="12" t="str">
        <x:v>Ministry of Defense (MOD)</x:v>
      </x:c>
      <x:c r="E212" s="12" t="str">
        <x:v>Pipeline</x:v>
      </x:c>
      <x:c r="F212" s="12" t="str">
        <x:v>HDD</x:v>
      </x:c>
      <x:c r="G212" s="12" t="str">
        <x:v>Installation of a new 8-inch utility pipeline within the Khafji project area, including a crossing of the controlled area boundary by horizontal directional drilling (HDD).</x:v>
      </x:c>
      <x:c r="H212" s="14" t="n">
        <x:v>48</x:v>
      </x:c>
    </x:row>
    <x:row r="213">
      <x:c r="A213" s="12" t="str">
        <x:v>CASE-212</x:v>
      </x:c>
      <x:c r="B213" s="12" t="str">
        <x:v>Madinah Region</x:v>
      </x:c>
      <x:c r="C213" s="12" t="str">
        <x:v>Madinah</x:v>
      </x:c>
      <x:c r="D213" s="12" t="str">
        <x:v>Border Guard</x:v>
      </x:c>
      <x:c r="E213" s="12" t="str">
        <x:v>Pipeline</x:v>
      </x:c>
      <x:c r="F213" s="12" t="str">
        <x:v>Open Cut</x:v>
      </x:c>
      <x:c r="G213" s="12" t="str">
        <x:v>Construction of a 24-inch process water pipeline crossing the existing government facility corridor near Madinah using open-cut excavation.</x:v>
      </x:c>
      <x:c r="H213" s="14" t="n">
        <x:v>29</x:v>
      </x:c>
    </x:row>
    <x:row r="214">
      <x:c r="A214" s="12" t="str">
        <x:v>CASE-213</x:v>
      </x:c>
      <x:c r="B214" s="12" t="str">
        <x:v>Northern Borders Region</x:v>
      </x:c>
      <x:c r="C214" s="12" t="str">
        <x:v>Rafha</x:v>
      </x:c>
      <x:c r="D214" s="12" t="str">
        <x:v>Border Guard</x:v>
      </x:c>
      <x:c r="E214" s="12" t="str">
        <x:v>Well Drilling</x:v>
      </x:c>
      <x:c r="F214" s="12" t="str">
        <x:v>N/A</x:v>
      </x:c>
      <x:c r="G214" s="12" t="str">
        <x:v>Proposed water well drilling works near Rafha, including drilling pad preparation and temporary access.</x:v>
      </x:c>
      <x:c r="H214" s="14" t="n">
        <x:v>18</x:v>
      </x:c>
    </x:row>
    <x:row r="215">
      <x:c r="A215" s="12" t="str">
        <x:v>CASE-214</x:v>
      </x:c>
      <x:c r="B215" s="12" t="str">
        <x:v>Eastern Region</x:v>
      </x:c>
      <x:c r="C215" s="12" t="str">
        <x:v>Al Ahsa</x:v>
      </x:c>
      <x:c r="D215" s="12" t="str">
        <x:v>Ministry of Defense (MOD)</x:v>
      </x:c>
      <x:c r="E215" s="12" t="str">
        <x:v>Borrow Pit</x:v>
      </x:c>
      <x:c r="F215" s="12" t="str">
        <x:v>N/A</x:v>
      </x:c>
      <x:c r="G215" s="12" t="str">
        <x:v>Temporary borrow pit request near Al Ahsa to support project earthworks and supply construction soil.</x:v>
      </x:c>
      <x:c r="H215" s="14" t="n">
        <x:v>78</x:v>
      </x:c>
    </x:row>
    <x:row r="216">
      <x:c r="A216" s="12" t="str">
        <x:v>CASE-215</x:v>
      </x:c>
      <x:c r="B216" s="12" t="str">
        <x:v>Eastern Region</x:v>
      </x:c>
      <x:c r="C216" s="12" t="str">
        <x:v>Ras Tanura</x:v>
      </x:c>
      <x:c r="D216" s="12" t="str">
        <x:v>Ministry of Interior (MOI)</x:v>
      </x:c>
      <x:c r="E216" s="12" t="str">
        <x:v>Well Drilling</x:v>
      </x:c>
      <x:c r="F216" s="12" t="str">
        <x:v>N/A</x:v>
      </x:c>
      <x:c r="G216" s="12" t="str">
        <x:v>Drilling of 5 new observation wells within the project area near Ras Tanura, including temporary access and site preparation.</x:v>
      </x:c>
      <x:c r="H216" s="14" t="n">
        <x:v>18</x:v>
      </x:c>
    </x:row>
    <x:row r="217">
      <x:c r="A217" s="12" t="str">
        <x:v>CASE-216</x:v>
      </x:c>
      <x:c r="B217" s="12" t="str">
        <x:v>Hail Region</x:v>
      </x:c>
      <x:c r="C217" s="12" t="str">
        <x:v>Hail</x:v>
      </x:c>
      <x:c r="D217" s="12" t="str">
        <x:v>Saudi Arabia Railways (SAR)</x:v>
      </x:c>
      <x:c r="E217" s="12" t="str">
        <x:v>Pipeline</x:v>
      </x:c>
      <x:c r="F217" s="12" t="str">
        <x:v>HDD</x:v>
      </x:c>
      <x:c r="G217" s="12" t="str">
        <x:v>Construction of a 36-inch gas pipeline crossing the existing rail right-of-way near Hail using horizontal directional drilling (HDD).</x:v>
      </x:c>
      <x:c r="H217" s="14" t="n">
        <x:v>85</x:v>
      </x:c>
    </x:row>
    <x:row r="218">
      <x:c r="A218" s="12" t="str">
        <x:v>CASE-217</x:v>
      </x:c>
      <x:c r="B218" s="12" t="str">
        <x:v>Tabuk Region</x:v>
      </x:c>
      <x:c r="C218" s="12" t="str">
        <x:v>Tabuk</x:v>
      </x:c>
      <x:c r="D218" s="12" t="str">
        <x:v>National Water Company (NWC)</x:v>
      </x:c>
      <x:c r="E218" s="12" t="str">
        <x:v>Pipeline</x:v>
      </x:c>
      <x:c r="F218" s="12" t="str">
        <x:v>Open Cut</x:v>
      </x:c>
      <x:c r="G218" s="12" t="str">
        <x:v>Construction of a 12-inch gas pipeline crossing the existing distribution main near Tabuk using open-cut excavation.</x:v>
      </x:c>
      <x:c r="H218" s="14" t="n">
        <x:v>30</x:v>
      </x:c>
    </x:row>
    <x:row r="219">
      <x:c r="A219" s="12" t="str">
        <x:v>CASE-218</x:v>
      </x:c>
      <x:c r="B219" s="12" t="str">
        <x:v>Tabuk Region</x:v>
      </x:c>
      <x:c r="C219" s="12" t="str">
        <x:v>Tabuk</x:v>
      </x:c>
      <x:c r="D219" s="12" t="str">
        <x:v>Ministry of Transport (MOT)</x:v>
      </x:c>
      <x:c r="E219" s="12" t="str">
        <x:v>Culvert</x:v>
      </x:c>
      <x:c r="F219" s="12" t="str">
        <x:v>N/A</x:v>
      </x:c>
      <x:c r="G219" s="12" t="str">
        <x:v>Construction of a double-cell culvert near Tabuk to support drainage works adjacent to the main road.</x:v>
      </x:c>
      <x:c r="H219" s="14" t="n">
        <x:v>43</x:v>
      </x:c>
    </x:row>
    <x:row r="220">
      <x:c r="A220" s="12" t="str">
        <x:v>CASE-219</x:v>
      </x:c>
      <x:c r="B220" s="12" t="str">
        <x:v>Qassim Region</x:v>
      </x:c>
      <x:c r="C220" s="12" t="str">
        <x:v>Buraydah</x:v>
      </x:c>
      <x:c r="D220" s="12" t="str">
        <x:v>National Water Company (NWC)</x:v>
      </x:c>
      <x:c r="E220" s="12" t="str">
        <x:v>Pipeline</x:v>
      </x:c>
      <x:c r="F220" s="12" t="str">
        <x:v>HDD</x:v>
      </x:c>
      <x:c r="G220" s="12" t="str">
        <x:v>Proposed 20-inch water pipeline crossing at Buraydah; the crossing is planned using horizontal directional drilling (HDD) across the distribution main.</x:v>
      </x:c>
      <x:c r="H220" s="14" t="n">
        <x:v>27</x:v>
      </x:c>
    </x:row>
    <x:row r="221">
      <x:c r="A221" s="12" t="str">
        <x:v>CASE-220</x:v>
      </x:c>
      <x:c r="B221" s="12" t="str">
        <x:v>Eastern Region</x:v>
      </x:c>
      <x:c r="C221" s="12" t="str">
        <x:v>Dhahran</x:v>
      </x:c>
      <x:c r="D221" s="12" t="str">
        <x:v>Saudi Electricity</x:v>
      </x:c>
      <x:c r="E221" s="12" t="str">
        <x:v>Pipeline</x:v>
      </x:c>
      <x:c r="F221" s="12" t="str">
        <x:v>HDD</x:v>
      </x:c>
      <x:c r="G221" s="12" t="str">
        <x:v>Proposed 42-inch utility pipeline crossing at Dhahran; the crossing is planned using horizontal directional drilling (HDD) across the underground cable route.</x:v>
      </x:c>
      <x:c r="H221" s="14" t="n">
        <x:v>24</x:v>
      </x:c>
    </x:row>
    <x:row r="222">
      <x:c r="A222" s="12" t="str">
        <x:v>CASE-221</x:v>
      </x:c>
      <x:c r="B222" s="12" t="str">
        <x:v>Eastern Region</x:v>
      </x:c>
      <x:c r="C222" s="12" t="str">
        <x:v>Dammam</x:v>
      </x:c>
      <x:c r="D222" s="12" t="str">
        <x:v>Ministry of Interior (MOI)</x:v>
      </x:c>
      <x:c r="E222" s="12" t="str">
        <x:v>Culvert</x:v>
      </x:c>
      <x:c r="F222" s="12" t="str">
        <x:v>N/A</x:v>
      </x:c>
      <x:c r="G222" s="12" t="str">
        <x:v>Proposed reinforced concrete culvert crossing near Dammam as part of drainage and infrastructure improvement works.</x:v>
      </x:c>
      <x:c r="H222" s="14" t="n">
        <x:v>24</x:v>
      </x:c>
    </x:row>
    <x:row r="223">
      <x:c r="A223" s="12" t="str">
        <x:v>CASE-222</x:v>
      </x:c>
      <x:c r="B223" s="12" t="str">
        <x:v>Hail Region</x:v>
      </x:c>
      <x:c r="C223" s="12" t="str">
        <x:v>Hail</x:v>
      </x:c>
      <x:c r="D223" s="12" t="str">
        <x:v>National Water Company (NWC)</x:v>
      </x:c>
      <x:c r="E223" s="12" t="str">
        <x:v>Well Drilling</x:v>
      </x:c>
      <x:c r="F223" s="12" t="str">
        <x:v>N/A</x:v>
      </x:c>
      <x:c r="G223" s="12" t="str">
        <x:v>Construction activity for 5 monitoring wells in the Hail project area with associated site preparation.</x:v>
      </x:c>
      <x:c r="H223" s="14" t="n">
        <x:v>24</x:v>
      </x:c>
    </x:row>
    <x:row r="224">
      <x:c r="A224" s="12" t="str">
        <x:v>CASE-223</x:v>
      </x:c>
      <x:c r="B224" s="12" t="str">
        <x:v>Makkah Region</x:v>
      </x:c>
      <x:c r="C224" s="12" t="str">
        <x:v>Taif</x:v>
      </x:c>
      <x:c r="D224" s="12" t="str">
        <x:v>Ministry of Interior (MOI)</x:v>
      </x:c>
      <x:c r="E224" s="12" t="str">
        <x:v>Temporary Site</x:v>
      </x:c>
      <x:c r="F224" s="12" t="str">
        <x:v>N/A</x:v>
      </x:c>
      <x:c r="G224" s="12" t="str">
        <x:v>Temporary site request adjacent to the project area in Taif to accommodate contractor offices and site logistics.</x:v>
      </x:c>
      <x:c r="H224" s="14" t="n">
        <x:v>23</x:v>
      </x:c>
    </x:row>
    <x:row r="225">
      <x:c r="A225" s="12" t="str">
        <x:v>CASE-224</x:v>
      </x:c>
      <x:c r="B225" s="12" t="str">
        <x:v>Eastern Region</x:v>
      </x:c>
      <x:c r="C225" s="12" t="str">
        <x:v>Abqaiq</x:v>
      </x:c>
      <x:c r="D225" s="12" t="str">
        <x:v>Saudi Electricity</x:v>
      </x:c>
      <x:c r="E225" s="12" t="str">
        <x:v>Culvert</x:v>
      </x:c>
      <x:c r="F225" s="12" t="str">
        <x:v>N/A</x:v>
      </x:c>
      <x:c r="G225" s="12" t="str">
        <x:v>Extension and installation of a box culvert in the Abqaiq project area, including temporary traffic and site access arrangements.</x:v>
      </x:c>
      <x:c r="H225" s="14" t="n">
        <x:v>24</x:v>
      </x:c>
    </x:row>
    <x:row r="226">
      <x:c r="A226" s="12" t="str">
        <x:v>CASE-225</x:v>
      </x:c>
      <x:c r="B226" s="12" t="str">
        <x:v>Makkah Region</x:v>
      </x:c>
      <x:c r="C226" s="12" t="str">
        <x:v>Taif</x:v>
      </x:c>
      <x:c r="D226" s="12" t="str">
        <x:v>Saudi Electricity</x:v>
      </x:c>
      <x:c r="E226" s="12" t="str">
        <x:v>Pipeline</x:v>
      </x:c>
      <x:c r="F226" s="12" t="str">
        <x:v>HDD</x:v>
      </x:c>
      <x:c r="G226" s="12" t="str">
        <x:v>Proposed 24-inch crude oil pipeline crossing at Taif; the crossing is planned using horizontal directional drilling (HDD) across the overhead power line.</x:v>
      </x:c>
      <x:c r="H226" s="14" t="n">
        <x:v>18</x:v>
      </x:c>
    </x:row>
    <x:row r="227">
      <x:c r="A227" s="12" t="str">
        <x:v>CASE-226</x:v>
      </x:c>
      <x:c r="B227" s="12" t="str">
        <x:v>Riyadh Region</x:v>
      </x:c>
      <x:c r="C227" s="12" t="str">
        <x:v>Al Kharj</x:v>
      </x:c>
      <x:c r="D227" s="12" t="str">
        <x:v>Ministry of Transport (MOT)</x:v>
      </x:c>
      <x:c r="E227" s="12" t="str">
        <x:v>Culvert</x:v>
      </x:c>
      <x:c r="F227" s="12" t="str">
        <x:v>N/A</x:v>
      </x:c>
      <x:c r="G227" s="12" t="str">
        <x:v>Proposed box culvert crossing near Al Kharj as part of drainage and infrastructure improvement works.</x:v>
      </x:c>
      <x:c r="H227" s="14" t="n">
        <x:v>90</x:v>
      </x:c>
    </x:row>
    <x:row r="228">
      <x:c r="A228" s="12" t="str">
        <x:v>CASE-227</x:v>
      </x:c>
      <x:c r="B228" s="12" t="str">
        <x:v>Al Jouf Region</x:v>
      </x:c>
      <x:c r="C228" s="12" t="str">
        <x:v>Sakaka</x:v>
      </x:c>
      <x:c r="D228" s="12" t="str">
        <x:v>Ministry of Transport (MOT)</x:v>
      </x:c>
      <x:c r="E228" s="12" t="str">
        <x:v>Pipeline</x:v>
      </x:c>
      <x:c r="F228" s="12" t="str">
        <x:v>HDD</x:v>
      </x:c>
      <x:c r="G228" s="12" t="str">
        <x:v>Installation of a new 16-inch utility pipeline within the Sakaka project area, including a crossing of the access road by horizontal directional drilling (HDD).</x:v>
      </x:c>
      <x:c r="H228" s="14" t="n">
        <x:v>71</x:v>
      </x:c>
    </x:row>
    <x:row r="229">
      <x:c r="A229" s="12" t="str">
        <x:v>CASE-228</x:v>
      </x:c>
      <x:c r="B229" s="12" t="str">
        <x:v>Northern Borders Region</x:v>
      </x:c>
      <x:c r="C229" s="12" t="str">
        <x:v>Arar</x:v>
      </x:c>
      <x:c r="D229" s="12" t="str">
        <x:v>Ministry of Transport (MOT)</x:v>
      </x:c>
      <x:c r="E229" s="12" t="str">
        <x:v>Borrow Pit</x:v>
      </x:c>
      <x:c r="F229" s="12" t="str">
        <x:v>N/A</x:v>
      </x:c>
      <x:c r="G229" s="12" t="str">
        <x:v>Temporary borrow pit request near Arar to support project earthworks and supply selected backfill.</x:v>
      </x:c>
      <x:c r="H229" s="14" t="n">
        <x:v>54</x:v>
      </x:c>
    </x:row>
    <x:row r="230">
      <x:c r="A230" s="12" t="str">
        <x:v>CASE-229</x:v>
      </x:c>
      <x:c r="B230" s="12" t="str">
        <x:v>Riyadh Region</x:v>
      </x:c>
      <x:c r="C230" s="12" t="str">
        <x:v>Al Kharj</x:v>
      </x:c>
      <x:c r="D230" s="12" t="str">
        <x:v>Ministry of Transport (MOT)</x:v>
      </x:c>
      <x:c r="E230" s="12" t="str">
        <x:v>Borrow Pit</x:v>
      </x:c>
      <x:c r="F230" s="12" t="str">
        <x:v>N/A</x:v>
      </x:c>
      <x:c r="G230" s="12" t="str">
        <x:v>Request to use a temporary borrow pit near Al Kharj to obtain construction soil for project earthworks.</x:v>
      </x:c>
      <x:c r="H230" s="14" t="n">
        <x:v>28</x:v>
      </x:c>
    </x:row>
    <x:row r="231">
      <x:c r="A231" s="12" t="str">
        <x:v>CASE-230</x:v>
      </x:c>
      <x:c r="B231" s="12" t="str">
        <x:v>Riyadh Region</x:v>
      </x:c>
      <x:c r="C231" s="12" t="str">
        <x:v>Al Kharj</x:v>
      </x:c>
      <x:c r="D231" s="12" t="str">
        <x:v>Ministry of Transport (MOT)</x:v>
      </x:c>
      <x:c r="E231" s="12" t="str">
        <x:v>Pipeline</x:v>
      </x:c>
      <x:c r="F231" s="12" t="str">
        <x:v>Open Cut</x:v>
      </x:c>
      <x:c r="G231" s="12" t="str">
        <x:v>Construction of a 24-inch crude oil pipeline crossing the existing service road near Al Kharj using open-cut excavation.</x:v>
      </x:c>
      <x:c r="H231" s="14" t="n">
        <x:v>30</x:v>
      </x:c>
    </x:row>
    <x:row r="232">
      <x:c r="A232" s="12" t="str">
        <x:v>CASE-231</x:v>
      </x:c>
      <x:c r="B232" s="12" t="str">
        <x:v>Riyadh Region</x:v>
      </x:c>
      <x:c r="C232" s="12" t="str">
        <x:v>Al Majma'ah</x:v>
      </x:c>
      <x:c r="D232" s="12" t="str">
        <x:v>Water Transmission Company (WTCO)</x:v>
      </x:c>
      <x:c r="E232" s="12" t="str">
        <x:v>Pipeline</x:v>
      </x:c>
      <x:c r="F232" s="12" t="str">
        <x:v>HDD</x:v>
      </x:c>
      <x:c r="G232" s="12" t="str">
        <x:v>Installation of a new 24-inch process water pipeline within the Al Majma'ah project area, including a crossing of the distribution main by horizontal directional drilling (HDD).</x:v>
      </x:c>
      <x:c r="H232" s="14" t="n">
        <x:v>21</x:v>
      </x:c>
    </x:row>
    <x:row r="233">
      <x:c r="A233" s="12" t="str">
        <x:v>CASE-232</x:v>
      </x:c>
      <x:c r="B233" s="12" t="str">
        <x:v>Tabuk Region</x:v>
      </x:c>
      <x:c r="C233" s="12" t="str">
        <x:v>Tabuk</x:v>
      </x:c>
      <x:c r="D233" s="12" t="str">
        <x:v>Ministry of Defense (MOD)</x:v>
      </x:c>
      <x:c r="E233" s="12" t="str">
        <x:v>Culvert</x:v>
      </x:c>
      <x:c r="F233" s="12" t="str">
        <x:v>N/A</x:v>
      </x:c>
      <x:c r="G233" s="12" t="str">
        <x:v>Construction of a double-cell culvert near Tabuk to support drainage works adjacent to the government facility corridor.</x:v>
      </x:c>
      <x:c r="H233" s="14" t="n">
        <x:v>77</x:v>
      </x:c>
    </x:row>
    <x:row r="234">
      <x:c r="A234" s="12" t="str">
        <x:v>CASE-233</x:v>
      </x:c>
      <x:c r="B234" s="12" t="str">
        <x:v>Al Jouf Region</x:v>
      </x:c>
      <x:c r="C234" s="12" t="str">
        <x:v>Sakaka</x:v>
      </x:c>
      <x:c r="D234" s="12" t="str">
        <x:v>Saudi Electricity</x:v>
      </x:c>
      <x:c r="E234" s="12" t="str">
        <x:v>Pipeline</x:v>
      </x:c>
      <x:c r="F234" s="12" t="str">
        <x:v>Open Cut</x:v>
      </x:c>
      <x:c r="G234" s="12" t="str">
        <x:v>Construction of a 36-inch gas pipeline crossing the existing underground cable route near Sakaka using open-cut excavation.</x:v>
      </x:c>
      <x:c r="H234" s="14" t="n">
        <x:v>21</x:v>
      </x:c>
    </x:row>
    <x:row r="235">
      <x:c r="A235" s="12" t="str">
        <x:v>CASE-234</x:v>
      </x:c>
      <x:c r="B235" s="12" t="str">
        <x:v>Eastern Region</x:v>
      </x:c>
      <x:c r="C235" s="12" t="str">
        <x:v>Khafji</x:v>
      </x:c>
      <x:c r="D235" s="12" t="str">
        <x:v>Saudi Arabia Railways (SAR)</x:v>
      </x:c>
      <x:c r="E235" s="12" t="str">
        <x:v>Borrow Pit</x:v>
      </x:c>
      <x:c r="F235" s="12" t="str">
        <x:v>N/A</x:v>
      </x:c>
      <x:c r="G235" s="12" t="str">
        <x:v>Temporary borrow pit request near Khafji to support project earthworks and supply granular fill.</x:v>
      </x:c>
      <x:c r="H235" s="14" t="n">
        <x:v>83</x:v>
      </x:c>
    </x:row>
    <x:row r="236">
      <x:c r="A236" s="12" t="str">
        <x:v>CASE-235</x:v>
      </x:c>
      <x:c r="B236" s="12" t="str">
        <x:v>Eastern Region</x:v>
      </x:c>
      <x:c r="C236" s="12" t="str">
        <x:v>Dammam</x:v>
      </x:c>
      <x:c r="D236" s="12" t="str">
        <x:v>Ministry of Transport (MOT)</x:v>
      </x:c>
      <x:c r="E236" s="12" t="str">
        <x:v>Pipeline</x:v>
      </x:c>
      <x:c r="F236" s="12" t="str">
        <x:v>HDD</x:v>
      </x:c>
      <x:c r="G236" s="12" t="str">
        <x:v>Proposed 30-inch water pipeline crossing at Dammam; the crossing is planned using horizontal directional drilling (HDD) across the highway.</x:v>
      </x:c>
      <x:c r="H236" s="14" t="n">
        <x:v>46</x:v>
      </x:c>
    </x:row>
    <x:row r="237">
      <x:c r="A237" s="12" t="str">
        <x:v>CASE-236</x:v>
      </x:c>
      <x:c r="B237" s="12" t="str">
        <x:v>Makkah Region</x:v>
      </x:c>
      <x:c r="C237" s="12" t="str">
        <x:v>Jeddah</x:v>
      </x:c>
      <x:c r="D237" s="12" t="str">
        <x:v>Ministry of Transport (MOT)</x:v>
      </x:c>
      <x:c r="E237" s="12" t="str">
        <x:v>Pipeline</x:v>
      </x:c>
      <x:c r="F237" s="12" t="str">
        <x:v>HDD</x:v>
      </x:c>
      <x:c r="G237" s="12" t="str">
        <x:v>Construction of a 36-inch process water pipeline crossing the existing highway near Jeddah using horizontal directional drilling (HDD).</x:v>
      </x:c>
      <x:c r="H237" s="14" t="n">
        <x:v>73</x:v>
      </x:c>
    </x:row>
    <x:row r="238">
      <x:c r="A238" s="12" t="str">
        <x:v>CASE-237</x:v>
      </x:c>
      <x:c r="B238" s="12" t="str">
        <x:v>Tabuk Region</x:v>
      </x:c>
      <x:c r="C238" s="12" t="str">
        <x:v>Tabuk</x:v>
      </x:c>
      <x:c r="D238" s="12" t="str">
        <x:v>Ministry of Transport (MOT)</x:v>
      </x:c>
      <x:c r="E238" s="12" t="str">
        <x:v>Pipeline</x:v>
      </x:c>
      <x:c r="F238" s="12" t="str">
        <x:v>HDD</x:v>
      </x:c>
      <x:c r="G238" s="12" t="str">
        <x:v>Construction of a 8-inch process water pipeline crossing the existing highway near Tabuk using horizontal directional drilling (HDD).</x:v>
      </x:c>
      <x:c r="H238" s="14" t="n">
        <x:v>38</x:v>
      </x:c>
    </x:row>
    <x:row r="239">
      <x:c r="A239" s="12" t="str">
        <x:v>CASE-238</x:v>
      </x:c>
      <x:c r="B239" s="12" t="str">
        <x:v>Qassim Region</x:v>
      </x:c>
      <x:c r="C239" s="12" t="str">
        <x:v>Buraydah</x:v>
      </x:c>
      <x:c r="D239" s="12" t="str">
        <x:v>Saudi Arabia Railways (SAR)</x:v>
      </x:c>
      <x:c r="E239" s="12" t="str">
        <x:v>Temporary Site</x:v>
      </x:c>
      <x:c r="F239" s="12" t="str">
        <x:v>N/A</x:v>
      </x:c>
      <x:c r="G239" s="12" t="str">
        <x:v>Temporary site request adjacent to the project area in Buraydah to accommodate construction support facilities and site logistics.</x:v>
      </x:c>
      <x:c r="H239" s="14" t="n">
        <x:v>78</x:v>
      </x:c>
    </x:row>
    <x:row r="240">
      <x:c r="A240" s="12" t="str">
        <x:v>CASE-239</x:v>
      </x:c>
      <x:c r="B240" s="12" t="str">
        <x:v>Hail Region</x:v>
      </x:c>
      <x:c r="C240" s="12" t="str">
        <x:v>Hail</x:v>
      </x:c>
      <x:c r="D240" s="12" t="str">
        <x:v>Saudi Arabia Railways (SAR)</x:v>
      </x:c>
      <x:c r="E240" s="12" t="str">
        <x:v>Culvert</x:v>
      </x:c>
      <x:c r="F240" s="12" t="str">
        <x:v>N/A</x:v>
      </x:c>
      <x:c r="G240" s="12" t="str">
        <x:v>Extension and installation of a box culvert in the Hail project area, including temporary traffic and site access arrangements.</x:v>
      </x:c>
      <x:c r="H240" s="14" t="n">
        <x:v>69</x:v>
      </x:c>
    </x:row>
    <x:row r="241">
      <x:c r="A241" s="12" t="str">
        <x:v>CASE-240</x:v>
      </x:c>
      <x:c r="B241" s="12" t="str">
        <x:v>Eastern Region</x:v>
      </x:c>
      <x:c r="C241" s="12" t="str">
        <x:v>Ras Tanura</x:v>
      </x:c>
      <x:c r="D241" s="12" t="str">
        <x:v>Saudi Electricity</x:v>
      </x:c>
      <x:c r="E241" s="12" t="str">
        <x:v>Culvert</x:v>
      </x:c>
      <x:c r="F241" s="12" t="str">
        <x:v>N/A</x:v>
      </x:c>
      <x:c r="G241" s="12" t="str">
        <x:v>Proposed single-cell culvert crossing near Ras Tanura as part of drainage and infrastructure improvement works.</x:v>
      </x:c>
      <x:c r="H241" s="14" t="n">
        <x:v>21</x:v>
      </x:c>
    </x:row>
    <x:row r="242">
      <x:c r="A242" s="12" t="str">
        <x:v>CASE-241</x:v>
      </x:c>
      <x:c r="B242" s="12" t="str">
        <x:v>Madinah Region</x:v>
      </x:c>
      <x:c r="C242" s="12" t="str">
        <x:v>Yanbu</x:v>
      </x:c>
      <x:c r="D242" s="12" t="str">
        <x:v>National Guard</x:v>
      </x:c>
      <x:c r="E242" s="12" t="str">
        <x:v>Well Drilling</x:v>
      </x:c>
      <x:c r="F242" s="12" t="str">
        <x:v>N/A</x:v>
      </x:c>
      <x:c r="G242" s="12" t="str">
        <x:v>Proposed water well drilling works near Yanbu, including drilling pad preparation and temporary access.</x:v>
      </x:c>
      <x:c r="H242" s="14" t="n">
        <x:v>60</x:v>
      </x:c>
    </x:row>
    <x:row r="243">
      <x:c r="A243" s="12" t="str">
        <x:v>CASE-242</x:v>
      </x:c>
      <x:c r="B243" s="12" t="str">
        <x:v>Eastern Region</x:v>
      </x:c>
      <x:c r="C243" s="12" t="str">
        <x:v>Dhahran</x:v>
      </x:c>
      <x:c r="D243" s="12" t="str">
        <x:v>Ministry of Defense (MOD)</x:v>
      </x:c>
      <x:c r="E243" s="12" t="str">
        <x:v>Pipeline</x:v>
      </x:c>
      <x:c r="F243" s="12" t="str">
        <x:v>HDD</x:v>
      </x:c>
      <x:c r="G243" s="12" t="str">
        <x:v>Installation of a new 42-inch process water pipeline within the Dhahran project area, including a crossing of the restricted access route by horizontal directional drilling (HDD).</x:v>
      </x:c>
      <x:c r="H243" s="14" t="n">
        <x:v>57</x:v>
      </x:c>
    </x:row>
    <x:row r="244">
      <x:c r="A244" s="12" t="str">
        <x:v>CASE-243</x:v>
      </x:c>
      <x:c r="B244" s="12" t="str">
        <x:v>Tabuk Region</x:v>
      </x:c>
      <x:c r="C244" s="12" t="str">
        <x:v>Tabuk</x:v>
      </x:c>
      <x:c r="D244" s="12" t="str">
        <x:v>Border Guard</x:v>
      </x:c>
      <x:c r="E244" s="12" t="str">
        <x:v>Well Drilling</x:v>
      </x:c>
      <x:c r="F244" s="12" t="str">
        <x:v>N/A</x:v>
      </x:c>
      <x:c r="G244" s="12" t="str">
        <x:v>Drilling of 4 new observation wells within the project area near Tabuk, including temporary access and site preparation.</x:v>
      </x:c>
      <x:c r="H244" s="14" t="n">
        <x:v>30</x:v>
      </x:c>
    </x:row>
    <x:row r="245">
      <x:c r="A245" s="12" t="str">
        <x:v>CASE-244</x:v>
      </x:c>
      <x:c r="B245" s="12" t="str">
        <x:v>Makkah Region</x:v>
      </x:c>
      <x:c r="C245" s="12" t="str">
        <x:v>Taif</x:v>
      </x:c>
      <x:c r="D245" s="12" t="str">
        <x:v>Water Transmission Company (WTCO)</x:v>
      </x:c>
      <x:c r="E245" s="12" t="str">
        <x:v>Pipeline</x:v>
      </x:c>
      <x:c r="F245" s="12" t="str">
        <x:v>HDD</x:v>
      </x:c>
      <x:c r="G245" s="12" t="str">
        <x:v>Proposed 30-inch gas pipeline crossing at Taif; the crossing is planned using horizontal directional drilling (HDD) across the distribution main.</x:v>
      </x:c>
      <x:c r="H245" s="14" t="n">
        <x:v>14</x:v>
      </x:c>
    </x:row>
    <x:row r="246">
      <x:c r="A246" s="12" t="str">
        <x:v>CASE-245</x:v>
      </x:c>
      <x:c r="B246" s="12" t="str">
        <x:v>Eastern Region</x:v>
      </x:c>
      <x:c r="C246" s="12" t="str">
        <x:v>Al Khobar</x:v>
      </x:c>
      <x:c r="D246" s="12" t="str">
        <x:v>National Guard</x:v>
      </x:c>
      <x:c r="E246" s="12" t="str">
        <x:v>Temporary Site</x:v>
      </x:c>
      <x:c r="F246" s="12" t="str">
        <x:v>N/A</x:v>
      </x:c>
      <x:c r="G246" s="12" t="str">
        <x:v>Establishment of a temporary construction support area in Al Khobar for material storage associated with the ongoing project.</x:v>
      </x:c>
      <x:c r="H246" s="14" t="n">
        <x:v>55</x:v>
      </x:c>
    </x:row>
    <x:row r="247">
      <x:c r="A247" s="12" t="str">
        <x:v>CASE-246</x:v>
      </x:c>
      <x:c r="B247" s="12" t="str">
        <x:v>Eastern Region</x:v>
      </x:c>
      <x:c r="C247" s="12" t="str">
        <x:v>Khafji</x:v>
      </x:c>
      <x:c r="D247" s="12" t="str">
        <x:v>Saudi Electricity</x:v>
      </x:c>
      <x:c r="E247" s="12" t="str">
        <x:v>Well Drilling</x:v>
      </x:c>
      <x:c r="F247" s="12" t="str">
        <x:v>N/A</x:v>
      </x:c>
      <x:c r="G247" s="12" t="str">
        <x:v>Proposed monitoring well drilling works near Khafji, including drilling pad preparation and temporary access.</x:v>
      </x:c>
      <x:c r="H247" s="14" t="n">
        <x:v>30</x:v>
      </x:c>
    </x:row>
    <x:row r="248">
      <x:c r="A248" s="12" t="str">
        <x:v>CASE-247</x:v>
      </x:c>
      <x:c r="B248" s="12" t="str">
        <x:v>Eastern Region</x:v>
      </x:c>
      <x:c r="C248" s="12" t="str">
        <x:v>Abqaiq</x:v>
      </x:c>
      <x:c r="D248" s="12" t="str">
        <x:v>Ministry of Transport (MOT)</x:v>
      </x:c>
      <x:c r="E248" s="12" t="str">
        <x:v>Pipeline</x:v>
      </x:c>
      <x:c r="F248" s="12" t="str">
        <x:v>Open Cut</x:v>
      </x:c>
      <x:c r="G248" s="12" t="str">
        <x:v>Construction of a 18-inch utility pipeline crossing the existing main road near Abqaiq using open-cut excavation.</x:v>
      </x:c>
      <x:c r="H248" s="14" t="n">
        <x:v>120</x:v>
      </x:c>
    </x:row>
    <x:row r="249">
      <x:c r="A249" s="12" t="str">
        <x:v>CASE-248</x:v>
      </x:c>
      <x:c r="B249" s="12" t="str">
        <x:v>Eastern Region</x:v>
      </x:c>
      <x:c r="C249" s="12" t="str">
        <x:v>Al Khobar</x:v>
      </x:c>
      <x:c r="D249" s="12" t="str">
        <x:v>Ministry of Transport (MOT)</x:v>
      </x:c>
      <x:c r="E249" s="12" t="str">
        <x:v>Pipeline</x:v>
      </x:c>
      <x:c r="F249" s="12" t="str">
        <x:v>Open Cut</x:v>
      </x:c>
      <x:c r="G249" s="12" t="str">
        <x:v>Proposed 48-inch water pipeline crossing at Al Khobar; the crossing is planned using open-cut excavation across the service road.</x:v>
      </x:c>
      <x:c r="H249" s="14" t="n">
        <x:v>81</x:v>
      </x:c>
    </x:row>
    <x:row r="250">
      <x:c r="A250" s="12" t="str">
        <x:v>CASE-249</x:v>
      </x:c>
      <x:c r="B250" s="12" t="str">
        <x:v>Al Jouf Region</x:v>
      </x:c>
      <x:c r="C250" s="12" t="str">
        <x:v>Sakaka</x:v>
      </x:c>
      <x:c r="D250" s="12" t="str">
        <x:v>Ministry of Transport (MOT)</x:v>
      </x:c>
      <x:c r="E250" s="12" t="str">
        <x:v>Pipeline</x:v>
      </x:c>
      <x:c r="F250" s="12" t="str">
        <x:v>Open Cut</x:v>
      </x:c>
      <x:c r="G250" s="12" t="str">
        <x:v>Construction of a 8-inch water pipeline crossing the existing highway near Sakaka using open-cut excavation.</x:v>
      </x:c>
      <x:c r="H250" s="14" t="n">
        <x:v>49</x:v>
      </x:c>
    </x:row>
    <x:row r="251">
      <x:c r="A251" s="12" t="str">
        <x:v>CASE-250</x:v>
      </x:c>
      <x:c r="B251" s="12" t="str">
        <x:v>Riyadh Region</x:v>
      </x:c>
      <x:c r="C251" s="12" t="str">
        <x:v>Al Majma'ah</x:v>
      </x:c>
      <x:c r="D251" s="12" t="str">
        <x:v>Ministry of Transport (MOT)</x:v>
      </x:c>
      <x:c r="E251" s="12" t="str">
        <x:v>Borrow Pit</x:v>
      </x:c>
      <x:c r="F251" s="12" t="str">
        <x:v>N/A</x:v>
      </x:c>
      <x:c r="G251" s="12" t="str">
        <x:v>Proposed borrow pit in the Al Majma'ah area for sourcing selected backfill required for grading and backfilling activities.</x:v>
      </x:c>
      <x:c r="H251" s="14" t="n">
        <x:v>71</x:v>
      </x:c>
    </x:row>
  </x:sheetData>
  <x:conditionalFormatting sqref="H2:H25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d2414eeea9241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20" hidden="0" customWidth="1"/>
  </x:cols>
  <x:sheetData>
    <x:row r="1" ht="30" customHeight="1">
      <x:c r="A1" s="18" t="str">
        <x:v>Synthetic Case Dataset – Summary</x:v>
      </x:c>
      <x:c r="B1" s="18"/>
      <x:c r="C1" s="18"/>
      <x:c r="D1" s="18"/>
    </x:row>
    <x:row r="3">
      <x:c r="A3" s="22" t="str">
        <x:v>Metric</x:v>
      </x:c>
      <x:c r="B3" s="22" t="str">
        <x:v>Value</x:v>
      </x:c>
      <x:c r="C3" s="23"/>
    </x:row>
    <x:row r="4">
      <x:c r="A4" s="23" t="str">
        <x:v>Total Cases</x:v>
      </x:c>
      <x:c r="B4" s="23" t="n">
        <x:f>COUNTA('Synthetic Cases'!A2:A251)</x:f>
        <x:v>250</x:v>
      </x:c>
      <x:c r="C4" s="23"/>
    </x:row>
    <x:row r="5">
      <x:c r="A5" s="23" t="str">
        <x:v>Average Processing Days</x:v>
      </x:c>
      <x:c r="B5" s="23" t="n">
        <x:f>ROUND(AVERAGE('Synthetic Cases'!H2:H251),1)</x:f>
        <x:v>41.4</x:v>
      </x:c>
      <x:c r="C5" s="23"/>
    </x:row>
    <x:row r="6">
      <x:c r="A6" s="23" t="str">
        <x:v>Min / Max Processing Days</x:v>
      </x:c>
      <x:c r="B6" s="23" t="str">
        <x:f>MIN('Synthetic Cases'!H2:H251)&amp;" / "&amp;MAX('Synthetic Cases'!H2:H251)</x:f>
        <x:v>10 / 120</x:v>
      </x:c>
      <x:c r="C6" s="23"/>
    </x:row>
    <x:row r="7">
      <x:c r="A7" s="23"/>
      <x:c r="B7" s="23"/>
      <x:c r="C7" s="23"/>
    </x:row>
    <x:row r="8">
      <x:c r="A8" s="22" t="str">
        <x:v>Government Entity</x:v>
      </x:c>
      <x:c r="B8" s="22" t="str">
        <x:v>Case Count</x:v>
      </x:c>
      <x:c r="C8" s="22" t="str">
        <x:v>Avg Processing Days</x:v>
      </x:c>
    </x:row>
    <x:row r="9">
      <x:c r="A9" s="23" t="str">
        <x:v>Ministry of Transport (MOT)</x:v>
      </x:c>
      <x:c r="B9" s="23" t="n">
        <x:f>COUNTIF('Synthetic Cases'!$D$2:$D$251,A9)</x:f>
        <x:v>75</x:v>
      </x:c>
      <x:c r="C9" s="23" t="n">
        <x:f>ROUND(AVERAGEIF('Synthetic Cases'!$D$2:$D$251,A9,'Synthetic Cases'!$H$2:$H$251),1)</x:f>
        <x:v>55.3</x:v>
      </x:c>
    </x:row>
    <x:row r="10">
      <x:c r="A10" s="23" t="str">
        <x:v>Saudi Arabia Railways (SAR)</x:v>
      </x:c>
      <x:c r="B10" s="23" t="n">
        <x:f>COUNTIF('Synthetic Cases'!$D$2:$D$251,A10)</x:f>
        <x:v>20</x:v>
      </x:c>
      <x:c r="C10" s="23" t="n">
        <x:f>ROUND(AVERAGEIF('Synthetic Cases'!$D$2:$D$251,A10,'Synthetic Cases'!$H$2:$H$251),1)</x:f>
        <x:v>76.4</x:v>
      </x:c>
    </x:row>
    <x:row r="11">
      <x:c r="A11" s="23" t="str">
        <x:v>Saudi Electricity</x:v>
      </x:c>
      <x:c r="B11" s="23" t="n">
        <x:f>COUNTIF('Synthetic Cases'!$D$2:$D$251,A11)</x:f>
        <x:v>30</x:v>
      </x:c>
      <x:c r="C11" s="23" t="n">
        <x:f>ROUND(AVERAGEIF('Synthetic Cases'!$D$2:$D$251,A11,'Synthetic Cases'!$H$2:$H$251),1)</x:f>
        <x:v>23.3</x:v>
      </x:c>
    </x:row>
    <x:row r="12">
      <x:c r="A12" s="23" t="str">
        <x:v>Ministry of Interior (MOI)</x:v>
      </x:c>
      <x:c r="B12" s="23" t="n">
        <x:f>COUNTIF('Synthetic Cases'!$D$2:$D$251,A12)</x:f>
        <x:v>25</x:v>
      </x:c>
      <x:c r="C12" s="23" t="n">
        <x:f>ROUND(AVERAGEIF('Synthetic Cases'!$D$2:$D$251,A12,'Synthetic Cases'!$H$2:$H$251),1)</x:f>
        <x:v>24</x:v>
      </x:c>
    </x:row>
    <x:row r="13">
      <x:c r="A13" s="23" t="str">
        <x:v>Border Guard</x:v>
      </x:c>
      <x:c r="B13" s="23" t="n">
        <x:f>COUNTIF('Synthetic Cases'!$D$2:$D$251,A13)</x:f>
        <x:v>20</x:v>
      </x:c>
      <x:c r="C13" s="23" t="n">
        <x:f>ROUND(AVERAGEIF('Synthetic Cases'!$D$2:$D$251,A13,'Synthetic Cases'!$H$2:$H$251),1)</x:f>
        <x:v>26</x:v>
      </x:c>
    </x:row>
    <x:row r="14">
      <x:c r="A14" s="23" t="str">
        <x:v>National Guard</x:v>
      </x:c>
      <x:c r="B14" s="23" t="n">
        <x:f>COUNTIF('Synthetic Cases'!$D$2:$D$251,A14)</x:f>
        <x:v>20</x:v>
      </x:c>
      <x:c r="C14" s="23" t="n">
        <x:f>ROUND(AVERAGEIF('Synthetic Cases'!$D$2:$D$251,A14,'Synthetic Cases'!$H$2:$H$251),1)</x:f>
        <x:v>48.6</x:v>
      </x:c>
    </x:row>
    <x:row r="15">
      <x:c r="A15" s="23" t="str">
        <x:v>Water Transmission Company (WTCO)</x:v>
      </x:c>
      <x:c r="B15" s="23" t="n">
        <x:f>COUNTIF('Synthetic Cases'!$D$2:$D$251,A15)</x:f>
        <x:v>25</x:v>
      </x:c>
      <x:c r="C15" s="23" t="n">
        <x:f>ROUND(AVERAGEIF('Synthetic Cases'!$D$2:$D$251,A15,'Synthetic Cases'!$H$2:$H$251),1)</x:f>
        <x:v>17</x:v>
      </x:c>
    </x:row>
    <x:row r="16">
      <x:c r="A16" s="23" t="str">
        <x:v>National Water Company (NWC)</x:v>
      </x:c>
      <x:c r="B16" s="23" t="n">
        <x:f>COUNTIF('Synthetic Cases'!$D$2:$D$251,A16)</x:f>
        <x:v>20</x:v>
      </x:c>
      <x:c r="C16" s="23" t="n">
        <x:f>ROUND(AVERAGEIF('Synthetic Cases'!$D$2:$D$251,A16,'Synthetic Cases'!$H$2:$H$251),1)</x:f>
        <x:v>24.8</x:v>
      </x:c>
    </x:row>
    <x:row r="17">
      <x:c r="A17" s="23" t="str">
        <x:v>Ministry of Defense (MOD)</x:v>
      </x:c>
      <x:c r="B17" s="23" t="n">
        <x:f>COUNTIF('Synthetic Cases'!$D$2:$D$251,A17)</x:f>
        <x:v>15</x:v>
      </x:c>
      <x:c r="C17" s="23" t="n">
        <x:f>ROUND(AVERAGEIF('Synthetic Cases'!$D$2:$D$251,A17,'Synthetic Cases'!$H$2:$H$251),1)</x:f>
        <x:v>64.4</x:v>
      </x:c>
    </x:row>
    <x:row r="18">
      <x:c r="A18" s="23"/>
      <x:c r="B18" s="23"/>
      <x:c r="C18" s="23"/>
    </x:row>
    <x:row r="19">
      <x:c r="A19" s="23"/>
      <x:c r="B19" s="23"/>
      <x:c r="C19" s="23"/>
    </x:row>
    <x:row r="20">
      <x:c r="A20" s="23"/>
      <x:c r="B20" s="23"/>
      <x:c r="C20" s="23"/>
    </x:row>
    <x:row r="21">
      <x:c r="A21" s="27" t="str">
        <x:v>Important Note</x:v>
      </x:c>
      <x:c r="B21" s="27"/>
      <x:c r="C21" s="27"/>
    </x:row>
    <x:row r="22" ht="38" customHeight="1">
      <x:c r="A22" s="23" t="str">
        <x:v>This dataset is synthetic sample data created for an ML prototype. It does not represent actual company cases or measured operational performance.</x:v>
      </x:c>
      <x:c r="B22" s="23"/>
      <x:c r="C22" s="23"/>
    </x:row>
    <x:row r="23" ht="38" customHeight="1">
      <x:c r="A23" s="23" t="str">
        <x:v>Processing-time patterns were generated from the approximate ranges described for the prototype and include random variation.</x:v>
      </x:c>
      <x:c r="B23" s="23"/>
      <x:c r="C23" s="23"/>
    </x:row>
  </x:sheetData>
  <x:mergeCells>
    <x:mergeCell ref="A1:D1"/>
    <x:mergeCell ref="A21:C21"/>
    <x:mergeCell ref="A22:C22"/>
    <x:mergeCell ref="A23:C23"/>
  </x:mergeCells>
  <x:pageMargins left="0.7" right="0.7" top="0.75" bottom="0.75" header="0.3" footer="0.3"/>
  <x:drawing xmlns:r="http://schemas.openxmlformats.org/officeDocument/2006/relationships" r:id="Rfd98cc76cca24e61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4" hidden="0" customWidth="1"/>
    <x:col min="4" max="4" width="58" hidden="0" customWidth="1"/>
  </x:cols>
  <x:sheetData>
    <x:row r="1">
      <x:c r="A1" s="31" t="str">
        <x:v>Dataset Assumptions &amp; Field Definitions</x:v>
      </x:c>
      <x:c r="B1" s="31"/>
      <x:c r="C1" s="31"/>
      <x:c r="D1" s="31"/>
    </x:row>
    <x:row r="3">
      <x:c r="A3" s="22" t="str">
        <x:v>Field</x:v>
      </x:c>
      <x:c r="B3" s="22" t="str">
        <x:v>Purpose</x:v>
      </x:c>
      <x:c r="C3" s="22" t="str">
        <x:v>Example</x:v>
      </x:c>
      <x:c r="D3" s="22" t="str">
        <x:v>Model Use</x:v>
      </x:c>
    </x:row>
    <x:row r="4">
      <x:c r="A4" s="23" t="str">
        <x:v>Case_ID</x:v>
      </x:c>
      <x:c r="B4" s="23" t="str">
        <x:v>Synthetic unique identifier</x:v>
      </x:c>
      <x:c r="C4" s="23" t="str">
        <x:v>CASE-001</x:v>
      </x:c>
      <x:c r="D4" s="23" t="str">
        <x:v>Identifier only; normally exclude from training</x:v>
      </x:c>
    </x:row>
    <x:row r="5">
      <x:c r="A5" s="23" t="str">
        <x:v>Region</x:v>
      </x:c>
      <x:c r="B5" s="23" t="str">
        <x:v>Project region</x:v>
      </x:c>
      <x:c r="C5" s="23" t="str">
        <x:v>Eastern Region</x:v>
      </x:c>
      <x:c r="D5" s="23" t="str">
        <x:v>Feature</x:v>
      </x:c>
    </x:row>
    <x:row r="6">
      <x:c r="A6" s="23" t="str">
        <x:v>City</x:v>
      </x:c>
      <x:c r="B6" s="23" t="str">
        <x:v>Project city</x:v>
      </x:c>
      <x:c r="C6" s="23" t="str">
        <x:v>Al Ahsa</x:v>
      </x:c>
      <x:c r="D6" s="23" t="str">
        <x:v>Feature</x:v>
      </x:c>
    </x:row>
    <x:row r="7">
      <x:c r="A7" s="23" t="str">
        <x:v>Government_Entity</x:v>
      </x:c>
      <x:c r="B7" s="23" t="str">
        <x:v>Entity involved in the case</x:v>
      </x:c>
      <x:c r="C7" s="23" t="str">
        <x:v>Ministry of Transport (MOT)</x:v>
      </x:c>
      <x:c r="D7" s="23" t="str">
        <x:v>Feature</x:v>
      </x:c>
    </x:row>
    <x:row r="8">
      <x:c r="A8" s="23" t="str">
        <x:v>Project_Type</x:v>
      </x:c>
      <x:c r="B8" s="23" t="str">
        <x:v>Main type of project/activity</x:v>
      </x:c>
      <x:c r="C8" s="23" t="str">
        <x:v>Pipeline</x:v>
      </x:c>
      <x:c r="D8" s="23" t="str">
        <x:v>Feature</x:v>
      </x:c>
    </x:row>
    <x:row r="9">
      <x:c r="A9" s="23" t="str">
        <x:v>Work_Method</x:v>
      </x:c>
      <x:c r="B9" s="23" t="str">
        <x:v>Construction method for pipeline cases</x:v>
      </x:c>
      <x:c r="C9" s="23" t="str">
        <x:v>HDD / Open Cut</x:v>
      </x:c>
      <x:c r="D9" s="23" t="str">
        <x:v>Feature</x:v>
      </x:c>
    </x:row>
    <x:row r="10">
      <x:c r="A10" s="23" t="str">
        <x:v>Description</x:v>
      </x:c>
      <x:c r="B10" s="23" t="str">
        <x:v>Synthetic project description for NLP experiments</x:v>
      </x:c>
      <x:c r="C10" s="23" t="str">
        <x:v>24-inch pipeline crossing...</x:v>
      </x:c>
      <x:c r="D10" s="23" t="str">
        <x:v>Feature after text processing</x:v>
      </x:c>
    </x:row>
    <x:row r="11">
      <x:c r="A11" s="23" t="str">
        <x:v>Processing_Days</x:v>
      </x:c>
      <x:c r="B11" s="23" t="str">
        <x:v>Estimated total case processing duration</x:v>
      </x:c>
      <x:c r="C11" s="23" t="str">
        <x:v>35</x:v>
      </x:c>
      <x:c r="D11" s="23" t="str">
        <x:v>TARGET</x:v>
      </x:c>
    </x:row>
    <x:row r="13">
      <x:c r="A13" s="22" t="str">
        <x:v>Government Entity</x:v>
      </x:c>
      <x:c r="B13" s="22" t="str">
        <x:v>Synthetic Range (Days)</x:v>
      </x:c>
      <x:c r="C13" s="22" t="str">
        <x:v>Cases</x:v>
      </x:c>
      <x:c r="D13" s="22" t="str">
        <x:v>Notes</x:v>
      </x:c>
    </x:row>
    <x:row r="14">
      <x:c r="A14" s="23" t="str">
        <x:v>Ministry of Transport (MOT)</x:v>
      </x:c>
      <x:c r="B14" s="23" t="str">
        <x:v>20–120</x:v>
      </x:c>
      <x:c r="C14" s="23" t="n">
        <x:v>75</x:v>
      </x:c>
      <x:c r="D14" s="23" t="str">
        <x:v>Longer cycle; most cases are 20–65 days with a smaller long tail up to 120.</x:v>
      </x:c>
    </x:row>
    <x:row r="15">
      <x:c r="A15" s="23" t="str">
        <x:v>Saudi Arabia Railways (SAR)</x:v>
      </x:c>
      <x:c r="B15" s="23" t="str">
        <x:v>60–90</x:v>
      </x:c>
      <x:c r="C15" s="23" t="n">
        <x:v>20</x:v>
      </x:c>
      <x:c r="D15" s="23" t="str">
        <x:v>Large projects; synthetic range set to roughly 60–90 days.</x:v>
      </x:c>
    </x:row>
    <x:row r="16">
      <x:c r="A16" s="23" t="str">
        <x:v>Saudi Electricity</x:v>
      </x:c>
      <x:c r="B16" s="23" t="str">
        <x:v>14–30</x:v>
      </x:c>
      <x:c r="C16" s="23" t="n">
        <x:v>30</x:v>
      </x:c>
      <x:c r="D16" s="23" t="str">
        <x:v>Typically 2–4 weeks in this prototype.</x:v>
      </x:c>
    </x:row>
    <x:row r="17">
      <x:c r="A17" s="23" t="str">
        <x:v>Ministry of Interior (MOI)</x:v>
      </x:c>
      <x:c r="B17" s="23" t="str">
        <x:v>14–30</x:v>
      </x:c>
      <x:c r="C17" s="23" t="n">
        <x:v>25</x:v>
      </x:c>
      <x:c r="D17" s="23" t="str">
        <x:v>Typically 2–4 weeks in this prototype.</x:v>
      </x:c>
    </x:row>
    <x:row r="18">
      <x:c r="A18" s="23" t="str">
        <x:v>Border Guard</x:v>
      </x:c>
      <x:c r="B18" s="23" t="str">
        <x:v>14–30</x:v>
      </x:c>
      <x:c r="C18" s="23" t="n">
        <x:v>20</x:v>
      </x:c>
      <x:c r="D18" s="23" t="str">
        <x:v>Typically 2–4 weeks; coordination variability included.</x:v>
      </x:c>
    </x:row>
    <x:row r="19">
      <x:c r="A19" s="23" t="str">
        <x:v>National Guard</x:v>
      </x:c>
      <x:c r="B19" s="23" t="str">
        <x:v>30–60</x:v>
      </x:c>
      <x:c r="C19" s="23" t="n">
        <x:v>20</x:v>
      </x:c>
      <x:c r="D19" s="23" t="str">
        <x:v>Typically around 1–2 months.</x:v>
      </x:c>
    </x:row>
    <x:row r="20">
      <x:c r="A20" s="23" t="str">
        <x:v>Water Transmission Company (WTCO)</x:v>
      </x:c>
      <x:c r="B20" s="23" t="str">
        <x:v>7–30</x:v>
      </x:c>
      <x:c r="C20" s="23" t="n">
        <x:v>25</x:v>
      </x:c>
      <x:c r="D20" s="23" t="str">
        <x:v>Usually short; most synthetic cases are near 1–2.5 weeks, with a few longer cases.</x:v>
      </x:c>
    </x:row>
    <x:row r="21">
      <x:c r="A21" s="23" t="str">
        <x:v>National Water Company (NWC)</x:v>
      </x:c>
      <x:c r="B21" s="23" t="str">
        <x:v>14–30</x:v>
      </x:c>
      <x:c r="C21" s="23" t="n">
        <x:v>20</x:v>
      </x:c>
      <x:c r="D21" s="23" t="str">
        <x:v>Typically 2–4 weeks in this prototype.</x:v>
      </x:c>
    </x:row>
    <x:row r="22">
      <x:c r="A22" s="23" t="str">
        <x:v>Ministry of Defense (MOD)</x:v>
      </x:c>
      <x:c r="B22" s="23" t="str">
        <x:v>30–90</x:v>
      </x:c>
      <x:c r="C22" s="23" t="n">
        <x:v>15</x:v>
      </x:c>
      <x:c r="D22" s="23" t="str">
        <x:v>Longer coordination cycle; roughly 1–3 months.</x:v>
      </x:c>
    </x:row>
    <x:row r="25">
      <x:c r="A25" s="22" t="str">
        <x:v>Project Types Used</x:v>
      </x:c>
      <x:c r="B25" s="22" t="str">
        <x:v>Pipeline</x:v>
      </x:c>
      <x:c r="C25" s="22" t="str">
        <x:v>Culvert</x:v>
      </x:c>
      <x:c r="D25" s="22" t="str">
        <x:v>Temporary Site</x:v>
      </x:c>
    </x:row>
    <x:row r="26">
      <x:c r="A26" s="23" t="str"/>
      <x:c r="B26" s="23" t="str">
        <x:v>Borrow Pit</x:v>
      </x:c>
      <x:c r="C26" s="23" t="str">
        <x:v>Well Drilling</x:v>
      </x:c>
      <x:c r="D26" s="23" t="str"/>
    </x:row>
    <x:row r="27">
      <x:c r="A27" s="23" t="str">
        <x:v>Pipeline Work Methods</x:v>
      </x:c>
      <x:c r="B27" s="23" t="str">
        <x:v>HDD</x:v>
      </x:c>
      <x:c r="C27" s="23" t="str">
        <x:v>Open Cut</x:v>
      </x:c>
      <x:c r="D27" s="23" t="str"/>
    </x:row>
    <x:row r="28">
      <x:c r="A28" s="23" t="str">
        <x:v>Note</x:v>
      </x:c>
      <x:c r="B28" s="23" t="str">
        <x:v>Non-pipeline cases use N/A for Work_Method.</x:v>
      </x:c>
      <x:c r="C28" s="23" t="str"/>
      <x:c r="D28" s="23" t="str"/>
    </x:row>
    <x:row r="30">
      <x:c r="A30" s="35" t="str">
        <x:v>Scope Note</x:v>
      </x:c>
      <x:c r="B30" s="35"/>
      <x:c r="C30" s="35"/>
      <x:c r="D30" s="35"/>
    </x:row>
    <x:row r="31">
      <x:c r="A31" s="23" t="str">
        <x:v>Ministry of Energy, Facilities Security Forces, and MEWA were not included in this first 250-case set because a processing-day range was not fixed for them.</x:v>
      </x:c>
      <x:c r="B31" s="23"/>
      <x:c r="C31" s="23"/>
      <x:c r="D31" s="23"/>
    </x:row>
    <x:row r="32">
      <x:c r="A32" s="23" t="str">
        <x:v>They can be added later without changing the dataset structure.</x:v>
      </x:c>
      <x:c r="B32" s="23"/>
      <x:c r="C32" s="23"/>
      <x:c r="D32" s="23"/>
    </x:row>
  </x:sheetData>
  <x:mergeCells>
    <x:mergeCell ref="A1:D1"/>
    <x:mergeCell ref="A30:D30"/>
    <x:mergeCell ref="A31:D31"/>
    <x:mergeCell ref="A32:D32"/>
  </x:mergeCells>
  <x:pageMargins left="0.7" right="0.7" top="0.75" bottom="0.75" header="0.3" footer="0.3"/>
</x:worksheet>
</file>